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filterPrivacy="1" updateLinks="never" codeName="ThisWorkbook" hidePivotFieldList="1"/>
  <xr:revisionPtr revIDLastSave="0" documentId="13_ncr:1_{67AE3951-8779-4780-9D93-3ABCD9DCAEFF}" xr6:coauthVersionLast="47" xr6:coauthVersionMax="47" xr10:uidLastSave="{00000000-0000-0000-0000-000000000000}"/>
  <bookViews>
    <workbookView xWindow="-120" yWindow="-120" windowWidth="38640" windowHeight="21240" tabRatio="843" activeTab="14" xr2:uid="{00000000-000D-0000-FFFF-FFFF00000000}"/>
  </bookViews>
  <sheets>
    <sheet name="Print" sheetId="28" r:id="rId1"/>
    <sheet name="Data" sheetId="5" r:id="rId2"/>
    <sheet name="FittingsData" sheetId="30" r:id="rId3"/>
    <sheet name="All" sheetId="3" r:id="rId4"/>
    <sheet name="P1" sheetId="27" r:id="rId5"/>
    <sheet name="Material" sheetId="14" r:id="rId6"/>
    <sheet name="BoreshKari" sheetId="15" r:id="rId7"/>
    <sheet name="CNC" sheetId="16" r:id="rId8"/>
    <sheet name="NavarShiarFarsi" sheetId="25" r:id="rId9"/>
    <sheet name="Fittings" sheetId="17" r:id="rId10"/>
    <sheet name="Painting" sheetId="19" r:id="rId11"/>
    <sheet name="Plate" sheetId="32" r:id="rId12"/>
    <sheet name="WoodTools" sheetId="20" r:id="rId13"/>
    <sheet name="روکش مالی" sheetId="24" r:id="rId14"/>
    <sheet name="قرار داد" sheetId="36" r:id="rId15"/>
    <sheet name="مالی" sheetId="37" r:id="rId16"/>
    <sheet name="هزینه پروژه-جاری" sheetId="38" r:id="rId17"/>
    <sheet name="برشکاری" sheetId="39" r:id="rId18"/>
  </sheets>
  <functionGroups builtInGroupCount="19"/>
  <externalReferences>
    <externalReference r:id="rId19"/>
    <externalReference r:id="rId20"/>
  </externalReferences>
  <definedNames>
    <definedName name="_xlnm._FilterDatabase" localSheetId="3" hidden="1">All!$AK$1:$AL$1</definedName>
    <definedName name="_xlnm._FilterDatabase" localSheetId="8" hidden="1">NavarShiarFarsi!$E$7:$E$16</definedName>
    <definedName name="_xlnm._FilterDatabase" localSheetId="4" hidden="1">'P1'!$A$10:$M$1000</definedName>
    <definedName name="_xlcn.WorksheetConnection_Project_End.xlsmTable11" hidden="1">Table1</definedName>
    <definedName name="az">Material!$T$10</definedName>
    <definedName name="_xlnm.Criteria" localSheetId="4">'P1'!$S$1:$S$2</definedName>
    <definedName name="_xlnm.Print_Area" localSheetId="6">BoreshKari!$A$1:$G$31</definedName>
    <definedName name="_xlnm.Print_Area" localSheetId="7">CNC!$A$1:$F$31</definedName>
    <definedName name="_xlnm.Print_Area" localSheetId="9">Fittings!$A$1:$F$31</definedName>
    <definedName name="_xlnm.Print_Area" localSheetId="5">Material!$A$1:$J$31</definedName>
    <definedName name="_xlnm.Print_Area" localSheetId="8">NavarShiarFarsi!$A$1:$F$31</definedName>
    <definedName name="_xlnm.Print_Area" localSheetId="4">'P1'!$A$1:$L$41</definedName>
    <definedName name="_xlnm.Print_Area" localSheetId="10">Painting!$A$1:$G$31</definedName>
    <definedName name="_xlnm.Print_Area" localSheetId="11">Plate!$A$1:$F$31</definedName>
    <definedName name="_xlnm.Print_Area" localSheetId="12">WoodTools!$A$1:$G$28</definedName>
    <definedName name="_xlnm.Print_Area" localSheetId="13">'روکش مالی'!$A$1:$C$35</definedName>
    <definedName name="_xlnm.Print_Area" localSheetId="14">'قرار داد'!$A$1:$R$38</definedName>
    <definedName name="_xlnm.Print_Titles" localSheetId="4">'P1'!$1:$10</definedName>
    <definedName name="TypeData" localSheetId="0">[1]Data!$G$1:$G$8</definedName>
    <definedName name="TypeData">Data!#REF!</definedName>
  </definedNames>
  <calcPr calcId="191029"/>
  <pivotCaches>
    <pivotCache cacheId="0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Project_End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1" i="14" l="1"/>
  <c r="W2" i="36"/>
  <c r="A31" i="17"/>
  <c r="A31" i="16"/>
  <c r="A31" i="15"/>
  <c r="A17" i="36" a="1"/>
  <c r="A17" i="36" l="1"/>
  <c r="A31" i="25"/>
  <c r="M23" i="39"/>
  <c r="M22" i="39"/>
  <c r="M21" i="39"/>
  <c r="M20" i="39"/>
  <c r="M19" i="39"/>
  <c r="M18" i="39"/>
  <c r="B5" i="37" l="1"/>
  <c r="A5" i="37" s="1"/>
  <c r="A20" i="37"/>
  <c r="O26" i="36" l="1"/>
  <c r="F12" i="36"/>
  <c r="G9" i="36"/>
  <c r="A8" i="36"/>
  <c r="F8" i="36"/>
  <c r="A31" i="32" l="1"/>
  <c r="A14" i="24" s="1"/>
  <c r="A31" i="19"/>
  <c r="A12" i="24" s="1"/>
  <c r="A17" i="19"/>
  <c r="A9" i="24" l="1"/>
  <c r="A7" i="24"/>
  <c r="A13" i="24"/>
  <c r="C1" i="32"/>
  <c r="E1" i="20" s="1"/>
  <c r="B1" i="24" s="1"/>
  <c r="A1" i="32"/>
  <c r="F1" i="19"/>
  <c r="E1" i="19"/>
  <c r="A11" i="24"/>
  <c r="D1" i="17"/>
  <c r="A1" i="17"/>
  <c r="A1" i="19" s="1"/>
  <c r="D1" i="25"/>
  <c r="A1" i="25"/>
  <c r="A10" i="24"/>
  <c r="D1" i="16"/>
  <c r="A1" i="16"/>
  <c r="A8" i="24"/>
  <c r="C1" i="15"/>
  <c r="A1" i="15"/>
  <c r="G31" i="14"/>
  <c r="E31" i="14"/>
  <c r="C31" i="14"/>
  <c r="E1" i="14"/>
  <c r="I1" i="27" s="1"/>
  <c r="A1" i="14"/>
  <c r="A1" i="27" s="1"/>
  <c r="L1" i="27"/>
  <c r="K1" i="27"/>
  <c r="J1" i="27"/>
  <c r="A1" i="20" l="1"/>
  <c r="A1" i="24" s="1"/>
  <c r="A1" i="36"/>
  <c r="J1" i="36" s="1"/>
  <c r="A29" i="24"/>
  <c r="A31" i="24"/>
  <c r="A28" i="24"/>
  <c r="A30" i="24"/>
  <c r="A27" i="24"/>
  <c r="A32" i="24" l="1"/>
  <c r="A33" i="24" s="1"/>
  <c r="W6" i="36" s="1"/>
  <c r="B16" i="3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Project_End.xlsm!Table1" type="102" refreshedVersion="6" minRefreshableVersion="5">
    <extLst>
      <ext xmlns:x15="http://schemas.microsoft.com/office/spreadsheetml/2010/11/main" uri="{DE250136-89BD-433C-8126-D09CA5730AF9}">
        <x15:connection id="Table1">
          <x15:rangePr sourceName="_xlcn.WorksheetConnection_Project_End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<sst xmlns="http://schemas.openxmlformats.org/spreadsheetml/2006/main" count="591" uniqueCount="310">
  <si>
    <t>شیار</t>
  </si>
  <si>
    <t>فارسی</t>
  </si>
  <si>
    <t xml:space="preserve">برگ دستور برش </t>
  </si>
  <si>
    <t xml:space="preserve"> توضیحات : </t>
  </si>
  <si>
    <t>ردیف</t>
  </si>
  <si>
    <t>طول</t>
  </si>
  <si>
    <t>عرض</t>
  </si>
  <si>
    <t>تعداد</t>
  </si>
  <si>
    <t>نوار</t>
  </si>
  <si>
    <t>کد قطعه</t>
  </si>
  <si>
    <t xml:space="preserve">شرح </t>
  </si>
  <si>
    <t xml:space="preserve">طول </t>
  </si>
  <si>
    <t>قیمت کل(ریال)</t>
  </si>
  <si>
    <t>قیمت واحد(ریال)</t>
  </si>
  <si>
    <t>واحد</t>
  </si>
  <si>
    <t>شرح خدمات</t>
  </si>
  <si>
    <t xml:space="preserve">جمع کل </t>
  </si>
  <si>
    <t xml:space="preserve"> </t>
  </si>
  <si>
    <t>نوع داده1</t>
  </si>
  <si>
    <t>نوع متریال</t>
  </si>
  <si>
    <t>قیمت واحد (ریال)</t>
  </si>
  <si>
    <t>واحد(m²)</t>
  </si>
  <si>
    <t>متریال</t>
  </si>
  <si>
    <t>Kg</t>
  </si>
  <si>
    <t>عدد</t>
  </si>
  <si>
    <t>جمع</t>
  </si>
  <si>
    <t xml:space="preserve">واحد </t>
  </si>
  <si>
    <t>مقدار</t>
  </si>
  <si>
    <t>متر طول</t>
  </si>
  <si>
    <t>نوع کالا</t>
  </si>
  <si>
    <t>ریل ساچمه ای 50</t>
  </si>
  <si>
    <t>ریل ساچمه ای 40</t>
  </si>
  <si>
    <t>ریل ساچمه ای 30</t>
  </si>
  <si>
    <t>جک 120</t>
  </si>
  <si>
    <t xml:space="preserve">مقدار </t>
  </si>
  <si>
    <t>متر مربع</t>
  </si>
  <si>
    <t xml:space="preserve">ضریب کالیبره </t>
  </si>
  <si>
    <t xml:space="preserve">رنگ پلی ارتان </t>
  </si>
  <si>
    <t>پلی ارتان</t>
  </si>
  <si>
    <t xml:space="preserve">جمع کل پلی ارتان </t>
  </si>
  <si>
    <t xml:space="preserve">رنگ پلی استر </t>
  </si>
  <si>
    <t xml:space="preserve">جمع کل  پلی استر </t>
  </si>
  <si>
    <t>شاخه</t>
  </si>
  <si>
    <t xml:space="preserve">به نام خدا </t>
  </si>
  <si>
    <t>شرح</t>
  </si>
  <si>
    <t>بر آورد متریال</t>
  </si>
  <si>
    <t xml:space="preserve">برآورد برشکاری </t>
  </si>
  <si>
    <t xml:space="preserve">برآورد نوار -شیار -فارسی </t>
  </si>
  <si>
    <t xml:space="preserve">برآورد سی ان سی </t>
  </si>
  <si>
    <t xml:space="preserve">برآورد یراق الات </t>
  </si>
  <si>
    <t xml:space="preserve">برآورد ابزار و منبت </t>
  </si>
  <si>
    <t>براورد ملزومات نصب 2%</t>
  </si>
  <si>
    <t>برآورد حمل و نقل 2%</t>
  </si>
  <si>
    <t>برآورد متریال کل</t>
  </si>
  <si>
    <t>برآورد خدمات برشکاری</t>
  </si>
  <si>
    <t xml:space="preserve">                              برآورد رنگ کاری</t>
  </si>
  <si>
    <t xml:space="preserve">                            برآورد ابزار و منبت</t>
  </si>
  <si>
    <t>تراز مالی</t>
  </si>
  <si>
    <t xml:space="preserve">شماره  : 4   </t>
  </si>
  <si>
    <t xml:space="preserve">شماره  :2     </t>
  </si>
  <si>
    <t xml:space="preserve">شماره  :1      </t>
  </si>
  <si>
    <t xml:space="preserve">وزن </t>
  </si>
  <si>
    <t xml:space="preserve">سطح کل </t>
  </si>
  <si>
    <t>وزن کل</t>
  </si>
  <si>
    <t xml:space="preserve">شماره  :3     </t>
  </si>
  <si>
    <t xml:space="preserve">                    برآورد سی ان سی کاری </t>
  </si>
  <si>
    <t xml:space="preserve">                       برآورد یراق آلات</t>
  </si>
  <si>
    <t xml:space="preserve">شماره  :7   </t>
  </si>
  <si>
    <t>نوع کالا/خدمات</t>
  </si>
  <si>
    <t xml:space="preserve">یراق آلات </t>
  </si>
  <si>
    <t xml:space="preserve">لولا گازور -آرام بند </t>
  </si>
  <si>
    <t>لولا گازور - ساده</t>
  </si>
  <si>
    <t>ریل ساچمه ای 45</t>
  </si>
  <si>
    <t>ریل ساچمه ای 35</t>
  </si>
  <si>
    <t>ریل ساچمه ای 25</t>
  </si>
  <si>
    <t>دستکیره کابینت</t>
  </si>
  <si>
    <t xml:space="preserve">دستگیره کمد </t>
  </si>
  <si>
    <t xml:space="preserve">جا آویز لباس </t>
  </si>
  <si>
    <t xml:space="preserve">آبچکان </t>
  </si>
  <si>
    <t xml:space="preserve">لولا تخت پروانه ای </t>
  </si>
  <si>
    <t xml:space="preserve">دستیگره اتاقی </t>
  </si>
  <si>
    <t xml:space="preserve">دستگیره سرویسی </t>
  </si>
  <si>
    <t xml:space="preserve">مکانیزم قفل اتاقی </t>
  </si>
  <si>
    <t xml:space="preserve">مکانیزم قفل سرویسی </t>
  </si>
  <si>
    <t xml:space="preserve">ضریب کالیبره ازبیلت </t>
  </si>
  <si>
    <t xml:space="preserve">پایه 14 سانتی </t>
  </si>
  <si>
    <t xml:space="preserve">پایه 10 سانتی </t>
  </si>
  <si>
    <t xml:space="preserve">                         برآورد نوار کاری -شیار -فارسی </t>
  </si>
  <si>
    <t xml:space="preserve">قیمت </t>
  </si>
  <si>
    <t xml:space="preserve">سطح </t>
  </si>
  <si>
    <t>وزن</t>
  </si>
  <si>
    <t>قیمت یراق</t>
  </si>
  <si>
    <t xml:space="preserve"> مشخصات نوار لبه: همرنگ</t>
  </si>
  <si>
    <t xml:space="preserve">برآورد مونتاژ و نصب </t>
  </si>
  <si>
    <t xml:space="preserve">جمع کل هزینه  </t>
  </si>
  <si>
    <t xml:space="preserve">شماره  : 5   </t>
  </si>
  <si>
    <t xml:space="preserve"> شماره  :8  </t>
  </si>
  <si>
    <t xml:space="preserve">براورد هزینه طراحی مدل هوشمند  </t>
  </si>
  <si>
    <t>قیمت برش  کاری</t>
  </si>
  <si>
    <t xml:space="preserve"> نوع جنس:</t>
  </si>
  <si>
    <t>MaterialType</t>
  </si>
  <si>
    <t>نوار کاری پی وی سی -1میل -همرنگ (0.100 x 1.600)</t>
  </si>
  <si>
    <t>ام دی اف 16 میل - سفید</t>
  </si>
  <si>
    <t>شیار کاری (0.100 x 1.600)</t>
  </si>
  <si>
    <t>فارسی کاری (0.100 x 1.600)</t>
  </si>
  <si>
    <t>ام دی اف 16 میل -خام</t>
  </si>
  <si>
    <t>درب کابینت</t>
  </si>
  <si>
    <t>نوار کاری -روکش چوب (0.200 x 1.900)</t>
  </si>
  <si>
    <t>ام دی اف 16 میل -روکش چوب</t>
  </si>
  <si>
    <t>درب کابینت ایستاده</t>
  </si>
  <si>
    <t>ام دی اف 3 میل -سفید</t>
  </si>
  <si>
    <t>پی وی سی 16 میل - سفید</t>
  </si>
  <si>
    <t>پی وی سی 3 میل - سفید</t>
  </si>
  <si>
    <t>شیار کاری</t>
  </si>
  <si>
    <t>فارسی کاری</t>
  </si>
  <si>
    <t>نوار کاری -روکش چوب</t>
  </si>
  <si>
    <t>نوار کاری پی وی سی -1میل -همرنگ</t>
  </si>
  <si>
    <t>Type</t>
  </si>
  <si>
    <t>ام دی اف 8 میل - سفید</t>
  </si>
  <si>
    <t>ام دی اف 3 میل - سفید</t>
  </si>
  <si>
    <t>ام دی اف 16 میل -روکش ملامین موج دار</t>
  </si>
  <si>
    <t>ام دی اف 16 میل -روکش ملامین ساده</t>
  </si>
  <si>
    <t>ام دی اف 16 میل -خام یکرو سفید</t>
  </si>
  <si>
    <t xml:space="preserve">هایگلاس 16 میل - ساده </t>
  </si>
  <si>
    <t xml:space="preserve">مبلغ </t>
  </si>
  <si>
    <t xml:space="preserve">نوع خدمات </t>
  </si>
  <si>
    <t xml:space="preserve">نوع خدمات  </t>
  </si>
  <si>
    <t>هایگلاس 16 میل -سفید</t>
  </si>
  <si>
    <t>هایگلاس 16 میل ذغالی</t>
  </si>
  <si>
    <t>درب کشو 50</t>
  </si>
  <si>
    <t>درب کشو 45</t>
  </si>
  <si>
    <t>درب کشو 40</t>
  </si>
  <si>
    <t>درب کشو 35</t>
  </si>
  <si>
    <t>درب کشو 30</t>
  </si>
  <si>
    <t>درب کشو 25</t>
  </si>
  <si>
    <t>درب کابینت جک دار</t>
  </si>
  <si>
    <t xml:space="preserve">درب کابینت جک دار آبچکان </t>
  </si>
  <si>
    <t xml:space="preserve">کف یونیت زمینی </t>
  </si>
  <si>
    <t xml:space="preserve">سقف و کف یونیت ایستاده </t>
  </si>
  <si>
    <t>Fittings</t>
  </si>
  <si>
    <t>Qty</t>
  </si>
  <si>
    <t>Sum of Qty</t>
  </si>
  <si>
    <t>QtyProj</t>
  </si>
  <si>
    <t>قیمت</t>
  </si>
  <si>
    <t>نوع</t>
  </si>
  <si>
    <t>نوار همرنگ (0.100 x 1.600)</t>
  </si>
  <si>
    <t>کف یونیت زمینی</t>
  </si>
  <si>
    <t>شیار (0.100 x 1.600)</t>
  </si>
  <si>
    <t>فارسی (0.100 x 1.600)</t>
  </si>
  <si>
    <t>CNC-درب کابینت ایستاده</t>
  </si>
  <si>
    <t>CNC-درب کابینت جک دار</t>
  </si>
  <si>
    <t>CNC-درب کشو 50</t>
  </si>
  <si>
    <t>نوار همرنگ</t>
  </si>
  <si>
    <t xml:space="preserve">discription </t>
  </si>
  <si>
    <t xml:space="preserve">نوشتار قطعات </t>
  </si>
  <si>
    <t xml:space="preserve">متریال </t>
  </si>
  <si>
    <t>متریال های رنگ دار</t>
  </si>
  <si>
    <t>درب کابینت آبچکان</t>
  </si>
  <si>
    <t xml:space="preserve">                       برآوردصفحه کابینت </t>
  </si>
  <si>
    <t>صفحه HPL-3</t>
  </si>
  <si>
    <t>CNC-ستون بلند</t>
  </si>
  <si>
    <t>CNC-نمای هود</t>
  </si>
  <si>
    <t>CNC- درب کابینت</t>
  </si>
  <si>
    <t>CNC- درب کابینت آبچکان</t>
  </si>
  <si>
    <t>CNC-ستون کوتاه</t>
  </si>
  <si>
    <t>HPL-صفح کابینت</t>
  </si>
  <si>
    <t>صفحه کابینت کورین</t>
  </si>
  <si>
    <t>Code</t>
  </si>
  <si>
    <t>QtyFittings</t>
  </si>
  <si>
    <t>Grand Total</t>
  </si>
  <si>
    <t>درصد افزایش رنگ (%)</t>
  </si>
  <si>
    <t>نوع داده</t>
  </si>
  <si>
    <t>نرخ</t>
  </si>
  <si>
    <t>صفحه</t>
  </si>
  <si>
    <t>واحد کد دار ها</t>
  </si>
  <si>
    <t>Plate</t>
  </si>
  <si>
    <t>واحد بی کد ها</t>
  </si>
  <si>
    <t>HPL</t>
  </si>
  <si>
    <t xml:space="preserve">شماره  : 6    </t>
  </si>
  <si>
    <t>نام داده</t>
  </si>
  <si>
    <t xml:space="preserve">نام پروژه : </t>
  </si>
  <si>
    <t xml:space="preserve">تاریخ : </t>
  </si>
  <si>
    <t>ورق</t>
  </si>
  <si>
    <t>متر</t>
  </si>
  <si>
    <t>جفت</t>
  </si>
  <si>
    <t>m²</t>
  </si>
  <si>
    <t xml:space="preserve">پایه 7 سانتی </t>
  </si>
  <si>
    <t xml:space="preserve">قطعات متر طول </t>
  </si>
  <si>
    <t>نوع رنگ</t>
  </si>
  <si>
    <t>رنگ پلی ارتان</t>
  </si>
  <si>
    <t xml:space="preserve">گل منبت سر ستون </t>
  </si>
  <si>
    <t>کد</t>
  </si>
  <si>
    <t xml:space="preserve">گل منبت پا ستون </t>
  </si>
  <si>
    <t xml:space="preserve">ابزار تاج </t>
  </si>
  <si>
    <t>گل منبت نمای هود</t>
  </si>
  <si>
    <t>ابزار باند نور</t>
  </si>
  <si>
    <t>B111-20-8</t>
  </si>
  <si>
    <t>V104-800</t>
  </si>
  <si>
    <t xml:space="preserve">ستون گرد </t>
  </si>
  <si>
    <t>110-D</t>
  </si>
  <si>
    <t>B301</t>
  </si>
  <si>
    <t xml:space="preserve">پایه ستون </t>
  </si>
  <si>
    <t>m210</t>
  </si>
  <si>
    <t>m127</t>
  </si>
  <si>
    <t>cnc - ستون</t>
  </si>
  <si>
    <t>cnc-درب کابینت</t>
  </si>
  <si>
    <t>CNC- نما جزیره</t>
  </si>
  <si>
    <t>CNC-پهلو جزیره</t>
  </si>
  <si>
    <t>CNC- ستون</t>
  </si>
  <si>
    <t>CNC-نمای یونیت هود</t>
  </si>
  <si>
    <t>cnc - نمای هود</t>
  </si>
  <si>
    <t>cnc - ستون هود</t>
  </si>
  <si>
    <t>برآورد رنگ کاری پلی استر</t>
  </si>
  <si>
    <t>پیوست : دارد</t>
  </si>
  <si>
    <t xml:space="preserve">        قرار داد</t>
  </si>
  <si>
    <t xml:space="preserve">ماده1 : طرفین قرار داد </t>
  </si>
  <si>
    <t>به آدرس:</t>
  </si>
  <si>
    <t>به تلفن:</t>
  </si>
  <si>
    <t>به عنوان کار فرما که از این پس طرف اول نامیده می شود .</t>
  </si>
  <si>
    <t xml:space="preserve">نام کار فرما </t>
  </si>
  <si>
    <t xml:space="preserve">ادرس </t>
  </si>
  <si>
    <t xml:space="preserve">تلفن </t>
  </si>
  <si>
    <t>محل پروژه</t>
  </si>
  <si>
    <t>مبلغ قرار داد</t>
  </si>
  <si>
    <t>شرایط پرداخت :</t>
  </si>
  <si>
    <t xml:space="preserve">ماده5 : زمان قرار داد :  </t>
  </si>
  <si>
    <t xml:space="preserve">ماده6 : شرایط عمومی قرار داد :  </t>
  </si>
  <si>
    <t xml:space="preserve">ماده7 :تعهدات پیمانکار :  </t>
  </si>
  <si>
    <t>پیمانکار موظف است سفارشات را کامل با نهایت دقت و کیفیت و بدون نقص طبق قرار داد انجام داده و آنرا به صورت کتبی به کارفرما تحویل نماید .</t>
  </si>
  <si>
    <t>پرداخت صورت وضعیت هاي ارائه شده توسط مجري به طور موردي .</t>
  </si>
  <si>
    <t xml:space="preserve">ماده8 :تعهدات کارفرما :  </t>
  </si>
  <si>
    <t>کارفرما موظف است به اقدام جهت بیمه کردن پروژه در قالب بیمه مسولیت و حوادث کارگاهی .</t>
  </si>
  <si>
    <t xml:space="preserve">کارفرما متعهد به فراهم نمودن شرایط مساعد براي نصب و فعالیت پیمانکار جهت اجراي تعهدات قرار داد از قبیل تامین تعادل برودت پروژه و بر قراري نظم و سازمان دهی کلیه پیمانکاران </t>
  </si>
  <si>
    <t>وجلوگیري از تداخلات کاري و یاهرعواملی که منجر به تعطیلی کار و یا عدم توانایی رسیدن پیمانکار به تعهدات خود گردد می باشد .</t>
  </si>
  <si>
    <t xml:space="preserve">ماده9 :حکم قرار داد :  </t>
  </si>
  <si>
    <t xml:space="preserve">در صورت وجود اختلاف بین کارفرما و پیمانکار یک نفر نماینده کارشناس از طرف کارفرما و یک نفر کارشناس از طرف مشاور معرفی و توافق فی مابین آنان در چارچوب این قرارداد </t>
  </si>
  <si>
    <t>براي طرفین لازم الجرا خواهد بود.</t>
  </si>
  <si>
    <t>ماده10 :</t>
  </si>
  <si>
    <t>این قرار دادشامل 2 صفحه در10ماده وهمچنین به ضمیمه 3 صفحه نقشه اجرایی و روکش مالی،در دو نسخه تنظیم که هر یک حکم واحد را دارد  و در نزد طرفین می باشد .</t>
  </si>
  <si>
    <t>امضا کارفرما</t>
  </si>
  <si>
    <t>امضا پیمانکار</t>
  </si>
  <si>
    <t>می باشد .</t>
  </si>
  <si>
    <t>زمان شروع قرار داد بعد از دریافت پیش پرداخت و تحویل محل نصب توسط کارفرما می باشد .</t>
  </si>
  <si>
    <t>مانده نهایی</t>
  </si>
  <si>
    <t xml:space="preserve">مبلغ بدهکار </t>
  </si>
  <si>
    <t xml:space="preserve">مبلغ بستانکار </t>
  </si>
  <si>
    <t xml:space="preserve">تاریخ </t>
  </si>
  <si>
    <t xml:space="preserve">ردیف </t>
  </si>
  <si>
    <t>مبلغ کل پروژه</t>
  </si>
  <si>
    <t xml:space="preserve">مانده نهایی قابل پرداخت </t>
  </si>
  <si>
    <t>تاریخ</t>
  </si>
  <si>
    <t xml:space="preserve">روکش مالی دژیان </t>
  </si>
  <si>
    <t>بدهکار</t>
  </si>
  <si>
    <t xml:space="preserve">بستانکار </t>
  </si>
  <si>
    <t>هزینه پروژه</t>
  </si>
  <si>
    <t>ابونصر</t>
  </si>
  <si>
    <t>لیست برش کاری</t>
  </si>
  <si>
    <t xml:space="preserve">تعداد </t>
  </si>
  <si>
    <t xml:space="preserve">سفید 16 </t>
  </si>
  <si>
    <t>خام 16</t>
  </si>
  <si>
    <t>روکشی</t>
  </si>
  <si>
    <t>سفید 3</t>
  </si>
  <si>
    <t>پی وی سی16</t>
  </si>
  <si>
    <t>پی وی سی 3</t>
  </si>
  <si>
    <t>برش کاری 1</t>
  </si>
  <si>
    <t xml:space="preserve">پرت </t>
  </si>
  <si>
    <t>برش کاری2</t>
  </si>
  <si>
    <t>برش کاری 3</t>
  </si>
  <si>
    <t>برش کاری 4</t>
  </si>
  <si>
    <t>برش کاری 5</t>
  </si>
  <si>
    <t>برش کاری 6</t>
  </si>
  <si>
    <t xml:space="preserve">موجودی اول </t>
  </si>
  <si>
    <t xml:space="preserve">موجودی به روز </t>
  </si>
  <si>
    <t>مسولیت حمل متریال های خام ارسالی توسط پیمانکار از لحاظ مالی و یا تامین نیروی انسانی  به طبقات جهت نصب در هر واحد به عهده کارفرما می باشد.</t>
  </si>
  <si>
    <t>مسولیت حمل تا پروژه و همچنین نیروهاي اجرایی براي نصب سفارشات در محل پروژه به عهده پیمانکارمی باشد .</t>
  </si>
  <si>
    <t>طبقه 2</t>
  </si>
  <si>
    <t>طبقه 5</t>
  </si>
  <si>
    <t>ام دی اف 16 میل - موج دار طرح چوب</t>
  </si>
  <si>
    <t>ام دی اف 16 میل - های گلاس سفید</t>
  </si>
  <si>
    <t>ام دی اف 16 میل -ذغالی</t>
  </si>
  <si>
    <t>(Multiple Items)</t>
  </si>
  <si>
    <t>جمع کل به انضمام مدیریت و نظارت بر اجرا22 %</t>
  </si>
  <si>
    <t>قادری 6 طبقه همکف</t>
  </si>
  <si>
    <t>برش ،ساخت، نصب کابینت همکف از جنس ملامینه پاک چوب سفید و نقره ای - زیرسینک پی وی سی</t>
  </si>
  <si>
    <t xml:space="preserve">طی دو فقره چک 1402/05/10و1402/06/10 </t>
  </si>
  <si>
    <t>مهندس احمد نجاران طوسی</t>
  </si>
  <si>
    <t xml:space="preserve"> سفارشات طبق درخواست نوع جنس ،طرح و رنگ مورد تایید کارفرما به صورت انحصاري و خاص و بر مبناي مفاد توافقنامه تولید می گردد ، لذا این قرار داد قابل تغییر از لحاظ جنس ،</t>
  </si>
  <si>
    <t xml:space="preserve"> که در کنترل پیمانکار نباشد زمان و مبلغ پروژه مجددا در توافقی جدید باز نویسی خواهد گردید . </t>
  </si>
  <si>
    <t xml:space="preserve"> در صورت تغیرات اساسی در عملیات ساختمانی و یا تعطیلی پروژه به خاطر عواملی که توسط کارفرما ایجاد گردد و یا هر عامل دیگري که منجر به متوقف شدن روند نصب پیمانکار گردد</t>
  </si>
  <si>
    <t xml:space="preserve"> محاسبه می گردد.</t>
  </si>
  <si>
    <t xml:space="preserve"> در صورت تمایل کارفرما به فسخ قرار داد تا قبل از آغاز عملیات ساخت 30 درصد ،بعد از تا نیمه کار 75 درصد و بعد از نیمه کار 100 درصد از مبلغ کل قرار داد جهت خسارت تیم پیمانی </t>
  </si>
  <si>
    <t xml:space="preserve"> ملاك عمل پیمانکار طراحی هاي تحویل داده شده توسط کارفرما می باشد که به ضمیمه قرار داد پیوست گردیده و هر گونه تغییر در طرح باید به صورت کتبی به پیمانکار ابلاغ گردد.</t>
  </si>
  <si>
    <t xml:space="preserve"> براي سایز ها و دیتیل هاي خاص مورد نظر کارفرما قیمت هاي توافق شده در قرار داد ملاك عمل خواهد بود.</t>
  </si>
  <si>
    <t xml:space="preserve"> طرح و رنگ و یا فسخ به صورت یک جانبه نمی باشد. در صورت درخواست هر یک از طرفین مینی بر تغییر و یا فسخ ،اخذ رضایت طرف دیگر و جبران خسارت ناشی از فسخ و </t>
  </si>
  <si>
    <t xml:space="preserve"> یا تغییر قرار داد ، برابر توافق خود الزامی و ضروري می باشد .</t>
  </si>
  <si>
    <t xml:space="preserve"> اندازد که این نیز میتواند تعهد به زمان پروژه را افزایش دهد .</t>
  </si>
  <si>
    <t xml:space="preserve"> محل نصب باید از لحاظ شرایط براي نصب کاملا مساعد باشد همزمانی عملیات سفت کاري و بنایی و یا نازك کاري ساختمانی میتواند شروع نصب آیتم هاي چوبی را به تعویق </t>
  </si>
  <si>
    <t xml:space="preserve">   مدت زمان اجراي پروژه که شامل تولید ، حمل و نصب و رنگ کلیه اقلام مندرج در جداول می باشد 15روز کاری  می باشد.</t>
  </si>
  <si>
    <t xml:space="preserve"> مبلغ فوق بدون در نظر گرفتن صفحه روی کابینت می باشد و صرفا متریال حمل تا پروژه نصب و رنگ کاری آیتم های کمد و کابینت می باشد .</t>
  </si>
  <si>
    <t xml:space="preserve"> در صورت تغییر در طراحی و یا افزایش متراژ ها توسط کارفرما و یا تاخیر در مراحل پرداخت مبالغ جدید بعد از متره نهایی به صورت فاکتور هاي متمم اعلام خواهد شد .</t>
  </si>
  <si>
    <t xml:space="preserve"> مبلغ کل قرار داد با توجه به بند هاي مشخصه در جداول روکش مالی </t>
  </si>
  <si>
    <t xml:space="preserve"> مشخصات فنی و دیتیل های اجرایی به ضمیمه به قرار داد الحاق گردیده و به امضا طرفبن رسیده است .</t>
  </si>
  <si>
    <t xml:space="preserve"> ماده4 : مبلغ و شرایط پرداخت :  </t>
  </si>
  <si>
    <t xml:space="preserve"> ماد3 : موضوع قرار داد :  </t>
  </si>
  <si>
    <t xml:space="preserve"> ماده2 : محل پروژه :  </t>
  </si>
  <si>
    <t xml:space="preserve"> طرف دوم نامیده می شود .</t>
  </si>
  <si>
    <t xml:space="preserve"> این قرا داد فی مابین </t>
  </si>
  <si>
    <t xml:space="preserve"> و آقای احمد نجاران طوسی به آدرس :پیروزی 3 رودکی 12 پلاک 57 به شماره تلفن 9151110218 به عنوان  پیمانکار  که ازاین پس </t>
  </si>
  <si>
    <t xml:space="preserve">نام پروژه : مهندس پناهی </t>
  </si>
  <si>
    <t>نام پروژه : مهندس پناهی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</si>
</sst>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_-[$ريال-429]"/>
    <numFmt numFmtId="165" formatCode="#,##0.00_-[$ريال-429]"/>
    <numFmt numFmtId="166" formatCode="#,##0_-_ر_ي_ا_ل"/>
    <numFmt numFmtId="167" formatCode="#,###_-[$ريال-429]"/>
    <numFmt numFmtId="168" formatCode="#,##0_-&quot;ريال&quot;"/>
    <numFmt numFmtId="169" formatCode="#,###_-[$ÑíÇá-429]"/>
    <numFmt numFmtId="170" formatCode="0.0"/>
  </numFmts>
  <fonts count="88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b/>
      <sz val="12"/>
      <color theme="0"/>
      <name val="B Nazanin"/>
      <charset val="178"/>
    </font>
    <font>
      <b/>
      <sz val="18"/>
      <color theme="0"/>
      <name val="B Nazanin"/>
      <charset val="178"/>
    </font>
    <font>
      <sz val="12"/>
      <color theme="0"/>
      <name val="B Nazanin"/>
      <charset val="178"/>
    </font>
    <font>
      <sz val="14"/>
      <color theme="0"/>
      <name val="B Nazanin"/>
      <charset val="178"/>
    </font>
    <font>
      <b/>
      <sz val="14"/>
      <color theme="0"/>
      <name val="B Nazanin"/>
      <charset val="178"/>
    </font>
    <font>
      <b/>
      <sz val="16"/>
      <color theme="1"/>
      <name val="B Nazanin"/>
      <charset val="178"/>
    </font>
    <font>
      <b/>
      <sz val="14"/>
      <color theme="1"/>
      <name val="B Nazanin"/>
      <charset val="178"/>
    </font>
    <font>
      <b/>
      <sz val="10"/>
      <color theme="1"/>
      <name val="B Nazanin"/>
      <charset val="178"/>
    </font>
    <font>
      <b/>
      <sz val="12"/>
      <color theme="1"/>
      <name val="B Nazanin"/>
      <charset val="178"/>
    </font>
    <font>
      <b/>
      <sz val="14"/>
      <color theme="1"/>
      <name val="Calibri"/>
      <family val="2"/>
      <scheme val="minor"/>
    </font>
    <font>
      <sz val="12"/>
      <color theme="1"/>
      <name val="B Nazanin"/>
      <charset val="178"/>
    </font>
    <font>
      <b/>
      <sz val="12"/>
      <color theme="1"/>
      <name val="B Mitra"/>
      <charset val="178"/>
    </font>
    <font>
      <b/>
      <u/>
      <sz val="12"/>
      <color theme="1"/>
      <name val="B Mitra"/>
      <charset val="178"/>
    </font>
    <font>
      <b/>
      <sz val="14"/>
      <color rgb="FF000000"/>
      <name val="Arial"/>
      <family val="2"/>
    </font>
    <font>
      <b/>
      <sz val="12"/>
      <color theme="1"/>
      <name val="B Nazanin"/>
      <charset val="178"/>
    </font>
    <font>
      <sz val="12"/>
      <color theme="1"/>
      <name val="B Nazanin"/>
      <charset val="178"/>
    </font>
    <font>
      <sz val="16"/>
      <color theme="0"/>
      <name val="B Nazanin"/>
      <charset val="178"/>
    </font>
    <font>
      <b/>
      <sz val="16"/>
      <color theme="1"/>
      <name val="B Nazanin"/>
      <charset val="178"/>
    </font>
    <font>
      <b/>
      <sz val="14"/>
      <color theme="0"/>
      <name val="B Nazanin"/>
      <charset val="178"/>
    </font>
    <font>
      <b/>
      <sz val="14"/>
      <color rgb="FFFF0000"/>
      <name val="B Nazanin"/>
      <charset val="178"/>
    </font>
    <font>
      <b/>
      <sz val="16"/>
      <color theme="0"/>
      <name val="B Nazanin"/>
      <charset val="178"/>
    </font>
    <font>
      <b/>
      <sz val="12"/>
      <color theme="0"/>
      <name val="B Nazanin"/>
      <charset val="178"/>
    </font>
    <font>
      <b/>
      <sz val="18"/>
      <color theme="0"/>
      <name val="B Nazanin"/>
      <charset val="178"/>
    </font>
    <font>
      <sz val="12"/>
      <color theme="0"/>
      <name val="Calibri"/>
      <family val="2"/>
      <scheme val="minor"/>
    </font>
    <font>
      <b/>
      <sz val="18"/>
      <color rgb="FFFF0000"/>
      <name val="B Nazanin"/>
      <charset val="178"/>
    </font>
    <font>
      <b/>
      <sz val="11"/>
      <color theme="1"/>
      <name val="B Nazanin"/>
      <charset val="178"/>
    </font>
    <font>
      <b/>
      <sz val="10"/>
      <color theme="1"/>
      <name val="B Nazanin"/>
      <charset val="178"/>
    </font>
    <font>
      <b/>
      <sz val="12"/>
      <color theme="1" tint="4.9989318521683403E-2"/>
      <name val="B Nazanin"/>
      <charset val="178"/>
    </font>
    <font>
      <b/>
      <sz val="12"/>
      <color rgb="FFFF0000"/>
      <name val="B Nazanin"/>
      <charset val="178"/>
    </font>
    <font>
      <b/>
      <sz val="11"/>
      <color theme="0"/>
      <name val="B Nazanin"/>
      <charset val="178"/>
    </font>
    <font>
      <b/>
      <sz val="11"/>
      <color rgb="FFFF0000"/>
      <name val="B Nazanin"/>
      <charset val="178"/>
    </font>
    <font>
      <sz val="14"/>
      <color theme="0"/>
      <name val="B Nazanin"/>
      <charset val="178"/>
    </font>
    <font>
      <sz val="11"/>
      <color theme="1"/>
      <name val="B Nazanin"/>
      <charset val="178"/>
    </font>
    <font>
      <b/>
      <sz val="16"/>
      <color theme="1"/>
      <name val="Calibri"/>
      <family val="2"/>
      <scheme val="minor"/>
    </font>
    <font>
      <b/>
      <sz val="14"/>
      <color theme="1"/>
      <name val="B Mitra"/>
      <charset val="178"/>
    </font>
    <font>
      <b/>
      <sz val="16"/>
      <color rgb="FFFF0000"/>
      <name val="B Nazanin"/>
      <charset val="178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78"/>
      <scheme val="minor"/>
    </font>
    <font>
      <b/>
      <sz val="11"/>
      <color theme="1"/>
      <name val="B Mitra"/>
      <charset val="178"/>
    </font>
    <font>
      <b/>
      <u/>
      <sz val="11"/>
      <color theme="1"/>
      <name val="B Mitra"/>
      <charset val="178"/>
    </font>
    <font>
      <sz val="11"/>
      <color theme="1"/>
      <name val="B Mitra"/>
      <charset val="178"/>
    </font>
    <font>
      <b/>
      <sz val="18"/>
      <color theme="1"/>
      <name val="Calibri"/>
      <family val="2"/>
      <scheme val="minor"/>
    </font>
    <font>
      <b/>
      <sz val="18"/>
      <color theme="1"/>
      <name val="B Mitra"/>
      <charset val="178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b/>
      <u/>
      <sz val="12"/>
      <color rgb="FF000000"/>
      <name val="Arial"/>
      <family val="2"/>
    </font>
    <font>
      <b/>
      <sz val="16"/>
      <color rgb="FF000000"/>
      <name val="Arial"/>
      <family val="2"/>
    </font>
    <font>
      <b/>
      <sz val="16"/>
      <color theme="1"/>
      <name val="B Mitra"/>
      <charset val="178"/>
    </font>
    <font>
      <b/>
      <sz val="16"/>
      <color theme="1"/>
      <name val="Calibri"/>
      <family val="2"/>
      <charset val="178"/>
      <scheme val="minor"/>
    </font>
    <font>
      <b/>
      <sz val="20"/>
      <color theme="1"/>
      <name val="B Mitra"/>
      <charset val="178"/>
    </font>
    <font>
      <b/>
      <sz val="12"/>
      <color theme="1"/>
      <name val="B Nazanin"/>
      <charset val="178"/>
    </font>
    <font>
      <b/>
      <sz val="10"/>
      <color theme="1"/>
      <name val="B Nazanin"/>
      <charset val="178"/>
    </font>
    <font>
      <b/>
      <sz val="12"/>
      <color rgb="FF000000"/>
      <name val="Calibri"/>
      <family val="2"/>
    </font>
    <font>
      <b/>
      <sz val="12"/>
      <color theme="0"/>
      <name val="B Nazanin"/>
      <charset val="178"/>
    </font>
    <font>
      <b/>
      <sz val="9"/>
      <color theme="1"/>
      <name val="B Nazanin"/>
      <charset val="178"/>
    </font>
    <font>
      <sz val="10"/>
      <color theme="1"/>
      <name val="Calibri"/>
      <family val="2"/>
      <scheme val="minor"/>
    </font>
    <font>
      <sz val="11"/>
      <color theme="1"/>
      <name val="Mj_Ashgar"/>
      <charset val="178"/>
    </font>
    <font>
      <sz val="12"/>
      <color theme="1"/>
      <name val="Mj_Ashgar"/>
      <charset val="178"/>
    </font>
    <font>
      <sz val="8"/>
      <name val="Calibri"/>
      <family val="2"/>
      <scheme val="minor"/>
    </font>
    <font>
      <b/>
      <sz val="16"/>
      <color rgb="FFFFFFFF"/>
      <name val="Calibri"/>
      <family val="2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0"/>
      <color theme="1"/>
      <name val="Calibri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14"/>
      <color theme="0"/>
      <name val="Arial"/>
      <family val="2"/>
    </font>
    <font>
      <b/>
      <sz val="14"/>
      <color theme="0"/>
      <name val="Arial"/>
      <family val="2"/>
    </font>
    <font>
      <b/>
      <sz val="16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6"/>
      <color theme="0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DCD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FFFF"/>
      </left>
      <right style="medium">
        <color rgb="FFCCCCCC"/>
      </right>
      <top style="medium">
        <color rgb="FFCCCCCC"/>
      </top>
      <bottom style="thick">
        <color rgb="FFFFFFFF"/>
      </bottom>
      <diagonal/>
    </border>
    <border>
      <left/>
      <right style="medium">
        <color rgb="FFCCCCCC"/>
      </right>
      <top style="medium">
        <color rgb="FFCCCCCC"/>
      </top>
      <bottom style="thick">
        <color rgb="FFFFFFFF"/>
      </bottom>
      <diagonal/>
    </border>
    <border>
      <left style="medium">
        <color rgb="FFCCCCCC"/>
      </left>
      <right/>
      <top style="medium">
        <color rgb="FFCCCCCC"/>
      </top>
      <bottom style="thick">
        <color rgb="FFFFFFFF"/>
      </bottom>
      <diagonal/>
    </border>
    <border>
      <left/>
      <right style="medium">
        <color rgb="FFCCCCCC"/>
      </right>
      <top/>
      <bottom style="thick">
        <color rgb="FFFFFFFF"/>
      </bottom>
      <diagonal/>
    </border>
    <border>
      <left style="medium">
        <color rgb="FFFFFFFF"/>
      </left>
      <right style="medium">
        <color rgb="FFCCCCCC"/>
      </right>
      <top/>
      <bottom style="thick">
        <color rgb="FFFFFFFF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FFFFFF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/>
      <top style="medium">
        <color rgb="FFCCCCCC"/>
      </top>
      <bottom style="thick">
        <color rgb="FFFFFFFF"/>
      </bottom>
      <diagonal/>
    </border>
  </borders>
  <cellStyleXfs count="2">
    <xf numFmtId="0" fontId="0" fillId="0" borderId="0"/>
    <xf numFmtId="0" fontId="12" fillId="0" borderId="6">
      <alignment horizontal="center"/>
    </xf>
  </cellStyleXfs>
  <cellXfs count="521">
    <xf numFmtId="0" fontId="0" fillId="0" borderId="0" xfId="0"/>
    <xf numFmtId="0" fontId="13" fillId="0" borderId="0" xfId="0" applyFont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11" fillId="0" borderId="0" xfId="0" applyFont="1" applyAlignment="1">
      <alignment horizontal="center" vertical="center"/>
    </xf>
    <xf numFmtId="0" fontId="14" fillId="0" borderId="0" xfId="0" applyFont="1"/>
    <xf numFmtId="0" fontId="14" fillId="0" borderId="9" xfId="0" applyFont="1" applyBorder="1"/>
    <xf numFmtId="0" fontId="13" fillId="0" borderId="0" xfId="0" applyFont="1" applyAlignment="1">
      <alignment vertical="center"/>
    </xf>
    <xf numFmtId="0" fontId="3" fillId="2" borderId="0" xfId="0" applyFont="1" applyFill="1" applyAlignment="1">
      <alignment horizontal="right" vertical="center"/>
    </xf>
    <xf numFmtId="0" fontId="25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vertical="center"/>
    </xf>
    <xf numFmtId="0" fontId="23" fillId="2" borderId="0" xfId="0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6" fillId="2" borderId="0" xfId="0" applyFont="1" applyFill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2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>
      <alignment vertical="center"/>
    </xf>
    <xf numFmtId="0" fontId="17" fillId="4" borderId="10" xfId="0" applyFont="1" applyFill="1" applyBorder="1" applyAlignment="1">
      <alignment horizontal="center" vertical="center"/>
    </xf>
    <xf numFmtId="0" fontId="17" fillId="4" borderId="10" xfId="0" applyFont="1" applyFill="1" applyBorder="1"/>
    <xf numFmtId="0" fontId="17" fillId="4" borderId="17" xfId="0" applyFont="1" applyFill="1" applyBorder="1" applyAlignment="1">
      <alignment horizontal="center" vertical="center"/>
    </xf>
    <xf numFmtId="0" fontId="17" fillId="4" borderId="18" xfId="0" applyFont="1" applyFill="1" applyBorder="1" applyAlignment="1">
      <alignment horizontal="center" vertical="center"/>
    </xf>
    <xf numFmtId="3" fontId="24" fillId="6" borderId="6" xfId="0" applyNumberFormat="1" applyFont="1" applyFill="1" applyBorder="1" applyAlignment="1">
      <alignment horizontal="right" vertical="center"/>
    </xf>
    <xf numFmtId="164" fontId="24" fillId="6" borderId="6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35" fillId="4" borderId="7" xfId="0" applyFont="1" applyFill="1" applyBorder="1" applyAlignment="1">
      <alignment horizontal="center" vertical="center"/>
    </xf>
    <xf numFmtId="0" fontId="35" fillId="4" borderId="33" xfId="0" applyFont="1" applyFill="1" applyBorder="1" applyAlignment="1">
      <alignment horizontal="center" vertical="center"/>
    </xf>
    <xf numFmtId="0" fontId="35" fillId="4" borderId="11" xfId="0" applyFont="1" applyFill="1" applyBorder="1" applyAlignment="1">
      <alignment horizontal="center" vertical="center"/>
    </xf>
    <xf numFmtId="0" fontId="35" fillId="4" borderId="16" xfId="0" applyFont="1" applyFill="1" applyBorder="1" applyAlignment="1">
      <alignment horizontal="center" vertical="center"/>
    </xf>
    <xf numFmtId="0" fontId="33" fillId="5" borderId="4" xfId="0" applyFont="1" applyFill="1" applyBorder="1" applyAlignment="1">
      <alignment vertical="center"/>
    </xf>
    <xf numFmtId="0" fontId="33" fillId="5" borderId="6" xfId="0" applyFont="1" applyFill="1" applyBorder="1" applyAlignment="1">
      <alignment horizontal="center" vertical="center"/>
    </xf>
    <xf numFmtId="0" fontId="28" fillId="5" borderId="6" xfId="0" applyFont="1" applyFill="1" applyBorder="1" applyAlignment="1">
      <alignment horizontal="center" vertical="center"/>
    </xf>
    <xf numFmtId="0" fontId="17" fillId="4" borderId="10" xfId="0" applyFont="1" applyFill="1" applyBorder="1" applyAlignment="1">
      <alignment horizontal="right" vertical="center"/>
    </xf>
    <xf numFmtId="0" fontId="17" fillId="4" borderId="18" xfId="0" applyFont="1" applyFill="1" applyBorder="1" applyAlignment="1">
      <alignment horizontal="right" vertical="center"/>
    </xf>
    <xf numFmtId="3" fontId="17" fillId="4" borderId="41" xfId="0" applyNumberFormat="1" applyFont="1" applyFill="1" applyBorder="1" applyAlignment="1">
      <alignment horizontal="right"/>
    </xf>
    <xf numFmtId="3" fontId="17" fillId="4" borderId="42" xfId="0" applyNumberFormat="1" applyFont="1" applyFill="1" applyBorder="1" applyAlignment="1">
      <alignment horizontal="right"/>
    </xf>
    <xf numFmtId="3" fontId="30" fillId="5" borderId="7" xfId="1" applyNumberFormat="1" applyFont="1" applyFill="1" applyBorder="1" applyAlignment="1">
      <alignment horizontal="right"/>
    </xf>
    <xf numFmtId="164" fontId="24" fillId="6" borderId="6" xfId="0" applyNumberFormat="1" applyFont="1" applyFill="1" applyBorder="1" applyAlignment="1">
      <alignment horizontal="right" vertical="center"/>
    </xf>
    <xf numFmtId="0" fontId="17" fillId="4" borderId="10" xfId="0" applyFont="1" applyFill="1" applyBorder="1" applyAlignment="1">
      <alignment horizontal="right"/>
    </xf>
    <xf numFmtId="3" fontId="30" fillId="5" borderId="9" xfId="1" applyNumberFormat="1" applyFont="1" applyFill="1" applyBorder="1" applyAlignment="1">
      <alignment horizontal="right"/>
    </xf>
    <xf numFmtId="0" fontId="17" fillId="0" borderId="0" xfId="0" applyFont="1" applyAlignment="1">
      <alignment vertical="center"/>
    </xf>
    <xf numFmtId="3" fontId="24" fillId="6" borderId="7" xfId="1" applyNumberFormat="1" applyFont="1" applyFill="1" applyBorder="1" applyAlignment="1">
      <alignment horizontal="right" vertical="center"/>
    </xf>
    <xf numFmtId="3" fontId="24" fillId="6" borderId="9" xfId="1" applyNumberFormat="1" applyFont="1" applyFill="1" applyBorder="1" applyAlignment="1">
      <alignment horizontal="right" vertical="center"/>
    </xf>
    <xf numFmtId="165" fontId="24" fillId="6" borderId="6" xfId="0" applyNumberFormat="1" applyFont="1" applyFill="1" applyBorder="1" applyAlignment="1">
      <alignment horizontal="right" vertical="center"/>
    </xf>
    <xf numFmtId="0" fontId="28" fillId="4" borderId="7" xfId="0" applyFont="1" applyFill="1" applyBorder="1" applyAlignment="1">
      <alignment horizontal="center" vertical="center"/>
    </xf>
    <xf numFmtId="0" fontId="28" fillId="4" borderId="33" xfId="0" applyFont="1" applyFill="1" applyBorder="1" applyAlignment="1">
      <alignment horizontal="center" vertical="center"/>
    </xf>
    <xf numFmtId="0" fontId="20" fillId="4" borderId="19" xfId="0" applyFont="1" applyFill="1" applyBorder="1" applyAlignment="1">
      <alignment vertical="center"/>
    </xf>
    <xf numFmtId="0" fontId="20" fillId="4" borderId="40" xfId="0" applyFont="1" applyFill="1" applyBorder="1" applyAlignment="1">
      <alignment vertical="center"/>
    </xf>
    <xf numFmtId="0" fontId="20" fillId="4" borderId="40" xfId="0" applyFont="1" applyFill="1" applyBorder="1"/>
    <xf numFmtId="0" fontId="23" fillId="2" borderId="0" xfId="0" applyFont="1" applyFill="1" applyAlignment="1">
      <alignment horizontal="center" vertical="center"/>
    </xf>
    <xf numFmtId="49" fontId="15" fillId="8" borderId="20" xfId="0" applyNumberFormat="1" applyFont="1" applyFill="1" applyBorder="1" applyAlignment="1">
      <alignment horizontal="center"/>
    </xf>
    <xf numFmtId="0" fontId="24" fillId="2" borderId="0" xfId="0" applyFont="1" applyFill="1" applyAlignment="1">
      <alignment horizontal="center" vertical="center"/>
    </xf>
    <xf numFmtId="0" fontId="14" fillId="9" borderId="20" xfId="0" applyFont="1" applyFill="1" applyBorder="1"/>
    <xf numFmtId="0" fontId="14" fillId="9" borderId="45" xfId="0" applyFont="1" applyFill="1" applyBorder="1"/>
    <xf numFmtId="3" fontId="37" fillId="10" borderId="45" xfId="0" applyNumberFormat="1" applyFont="1" applyFill="1" applyBorder="1" applyAlignment="1">
      <alignment horizontal="right"/>
    </xf>
    <xf numFmtId="0" fontId="8" fillId="4" borderId="40" xfId="0" applyFont="1" applyFill="1" applyBorder="1" applyAlignment="1">
      <alignment vertical="center"/>
    </xf>
    <xf numFmtId="0" fontId="5" fillId="2" borderId="0" xfId="0" applyFont="1" applyFill="1" applyAlignment="1">
      <alignment horizontal="right" vertical="center"/>
    </xf>
    <xf numFmtId="0" fontId="39" fillId="11" borderId="0" xfId="0" applyFont="1" applyFill="1"/>
    <xf numFmtId="0" fontId="0" fillId="0" borderId="0" xfId="0" pivotButton="1"/>
    <xf numFmtId="3" fontId="0" fillId="0" borderId="0" xfId="0" applyNumberFormat="1"/>
    <xf numFmtId="0" fontId="33" fillId="5" borderId="4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vertical="center"/>
    </xf>
    <xf numFmtId="0" fontId="33" fillId="5" borderId="14" xfId="0" applyFont="1" applyFill="1" applyBorder="1" applyAlignment="1">
      <alignment horizontal="right" vertical="center"/>
    </xf>
    <xf numFmtId="0" fontId="10" fillId="7" borderId="0" xfId="0" applyFont="1" applyFill="1" applyAlignment="1">
      <alignment vertical="center"/>
    </xf>
    <xf numFmtId="0" fontId="13" fillId="7" borderId="0" xfId="0" applyFont="1" applyFill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0" fontId="5" fillId="2" borderId="0" xfId="0" applyFont="1" applyFill="1" applyAlignment="1">
      <alignment vertical="center"/>
    </xf>
    <xf numFmtId="3" fontId="28" fillId="0" borderId="0" xfId="0" applyNumberFormat="1" applyFont="1" applyAlignment="1">
      <alignment horizont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5" fillId="4" borderId="48" xfId="0" applyFont="1" applyFill="1" applyBorder="1" applyAlignment="1">
      <alignment horizontal="center" vertical="center"/>
    </xf>
    <xf numFmtId="0" fontId="0" fillId="0" borderId="11" xfId="0" applyBorder="1"/>
    <xf numFmtId="0" fontId="12" fillId="0" borderId="16" xfId="0" applyFont="1" applyBorder="1" applyAlignment="1">
      <alignment horizontal="center"/>
    </xf>
    <xf numFmtId="0" fontId="11" fillId="0" borderId="48" xfId="0" applyFont="1" applyBorder="1"/>
    <xf numFmtId="3" fontId="11" fillId="0" borderId="48" xfId="0" applyNumberFormat="1" applyFont="1" applyBorder="1"/>
    <xf numFmtId="0" fontId="11" fillId="0" borderId="48" xfId="0" applyFont="1" applyBorder="1" applyAlignment="1">
      <alignment vertical="center"/>
    </xf>
    <xf numFmtId="0" fontId="17" fillId="4" borderId="48" xfId="0" applyFont="1" applyFill="1" applyBorder="1" applyAlignment="1">
      <alignment horizontal="center" vertical="center"/>
    </xf>
    <xf numFmtId="0" fontId="28" fillId="0" borderId="48" xfId="0" applyFont="1" applyBorder="1" applyAlignment="1">
      <alignment horizontal="right"/>
    </xf>
    <xf numFmtId="0" fontId="35" fillId="4" borderId="28" xfId="0" applyFont="1" applyFill="1" applyBorder="1" applyAlignment="1">
      <alignment horizontal="center" vertical="center"/>
    </xf>
    <xf numFmtId="0" fontId="35" fillId="4" borderId="31" xfId="0" applyFont="1" applyFill="1" applyBorder="1" applyAlignment="1">
      <alignment horizontal="center" vertical="center"/>
    </xf>
    <xf numFmtId="3" fontId="0" fillId="0" borderId="28" xfId="0" applyNumberFormat="1" applyBorder="1" applyAlignment="1">
      <alignment horizontal="center"/>
    </xf>
    <xf numFmtId="0" fontId="4" fillId="2" borderId="0" xfId="0" applyFont="1" applyFill="1" applyAlignment="1">
      <alignment horizontal="right" vertical="center"/>
    </xf>
    <xf numFmtId="0" fontId="28" fillId="0" borderId="27" xfId="0" applyFont="1" applyBorder="1" applyAlignment="1">
      <alignment horizontal="right"/>
    </xf>
    <xf numFmtId="0" fontId="28" fillId="0" borderId="29" xfId="0" applyFont="1" applyBorder="1" applyAlignment="1">
      <alignment horizontal="right"/>
    </xf>
    <xf numFmtId="0" fontId="40" fillId="0" borderId="51" xfId="0" applyFont="1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41" fillId="0" borderId="0" xfId="0" applyFont="1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locked="0"/>
    </xf>
    <xf numFmtId="0" fontId="41" fillId="13" borderId="57" xfId="0" applyFont="1" applyFill="1" applyBorder="1" applyAlignment="1">
      <alignment horizontal="center"/>
    </xf>
    <xf numFmtId="0" fontId="41" fillId="13" borderId="46" xfId="0" applyFont="1" applyFill="1" applyBorder="1" applyAlignment="1">
      <alignment horizontal="center"/>
    </xf>
    <xf numFmtId="49" fontId="43" fillId="8" borderId="51" xfId="0" applyNumberFormat="1" applyFont="1" applyFill="1" applyBorder="1" applyAlignment="1">
      <alignment horizontal="center"/>
    </xf>
    <xf numFmtId="49" fontId="43" fillId="8" borderId="32" xfId="0" applyNumberFormat="1" applyFont="1" applyFill="1" applyBorder="1" applyAlignment="1">
      <alignment horizontal="center"/>
    </xf>
    <xf numFmtId="0" fontId="2" fillId="0" borderId="35" xfId="0" applyFont="1" applyBorder="1" applyAlignment="1">
      <alignment horizontal="right"/>
    </xf>
    <xf numFmtId="0" fontId="2" fillId="0" borderId="27" xfId="0" applyFont="1" applyBorder="1" applyAlignment="1">
      <alignment horizontal="right"/>
    </xf>
    <xf numFmtId="0" fontId="28" fillId="0" borderId="27" xfId="0" applyFont="1" applyBorder="1"/>
    <xf numFmtId="0" fontId="44" fillId="9" borderId="27" xfId="0" applyFont="1" applyFill="1" applyBorder="1" applyAlignment="1">
      <alignment horizontal="right"/>
    </xf>
    <xf numFmtId="0" fontId="35" fillId="0" borderId="27" xfId="0" applyFont="1" applyBorder="1" applyAlignment="1">
      <alignment horizontal="center" vertical="center"/>
    </xf>
    <xf numFmtId="0" fontId="44" fillId="9" borderId="29" xfId="0" applyFont="1" applyFill="1" applyBorder="1" applyAlignment="1">
      <alignment horizontal="right"/>
    </xf>
    <xf numFmtId="0" fontId="35" fillId="0" borderId="0" xfId="0" applyFont="1" applyAlignment="1">
      <alignment horizontal="center" vertical="center"/>
    </xf>
    <xf numFmtId="0" fontId="42" fillId="0" borderId="48" xfId="0" applyFont="1" applyBorder="1" applyAlignment="1">
      <alignment horizontal="center"/>
    </xf>
    <xf numFmtId="3" fontId="40" fillId="10" borderId="28" xfId="0" applyNumberFormat="1" applyFont="1" applyFill="1" applyBorder="1" applyAlignment="1">
      <alignment horizontal="right"/>
    </xf>
    <xf numFmtId="0" fontId="42" fillId="0" borderId="30" xfId="0" applyFont="1" applyBorder="1" applyAlignment="1">
      <alignment horizontal="center"/>
    </xf>
    <xf numFmtId="3" fontId="40" fillId="10" borderId="31" xfId="0" applyNumberFormat="1" applyFont="1" applyFill="1" applyBorder="1" applyAlignment="1">
      <alignment horizontal="right"/>
    </xf>
    <xf numFmtId="0" fontId="42" fillId="0" borderId="8" xfId="0" applyFont="1" applyBorder="1" applyAlignment="1">
      <alignment horizontal="center"/>
    </xf>
    <xf numFmtId="3" fontId="40" fillId="10" borderId="53" xfId="0" applyNumberFormat="1" applyFont="1" applyFill="1" applyBorder="1" applyAlignment="1">
      <alignment horizontal="right"/>
    </xf>
    <xf numFmtId="49" fontId="43" fillId="8" borderId="13" xfId="0" applyNumberFormat="1" applyFont="1" applyFill="1" applyBorder="1" applyAlignment="1">
      <alignment horizontal="center"/>
    </xf>
    <xf numFmtId="0" fontId="1" fillId="0" borderId="27" xfId="0" applyFont="1" applyBorder="1" applyAlignment="1">
      <alignment horizontal="right"/>
    </xf>
    <xf numFmtId="0" fontId="28" fillId="0" borderId="0" xfId="0" applyFont="1" applyAlignment="1">
      <alignment horizontal="right"/>
    </xf>
    <xf numFmtId="3" fontId="0" fillId="0" borderId="53" xfId="0" applyNumberFormat="1" applyBorder="1" applyAlignment="1">
      <alignment horizontal="center"/>
    </xf>
    <xf numFmtId="3" fontId="17" fillId="4" borderId="48" xfId="0" applyNumberFormat="1" applyFont="1" applyFill="1" applyBorder="1" applyAlignment="1">
      <alignment horizontal="right"/>
    </xf>
    <xf numFmtId="3" fontId="40" fillId="0" borderId="32" xfId="0" applyNumberFormat="1" applyFont="1" applyBorder="1" applyAlignment="1">
      <alignment horizontal="center" vertical="center"/>
    </xf>
    <xf numFmtId="49" fontId="43" fillId="8" borderId="51" xfId="0" applyNumberFormat="1" applyFont="1" applyFill="1" applyBorder="1" applyAlignment="1">
      <alignment horizontal="right"/>
    </xf>
    <xf numFmtId="0" fontId="11" fillId="0" borderId="48" xfId="0" applyFont="1" applyBorder="1" applyAlignment="1">
      <alignment horizontal="right"/>
    </xf>
    <xf numFmtId="0" fontId="45" fillId="0" borderId="57" xfId="0" applyFont="1" applyBorder="1" applyAlignment="1">
      <alignment horizontal="center" vertical="center"/>
    </xf>
    <xf numFmtId="3" fontId="45" fillId="0" borderId="47" xfId="0" applyNumberFormat="1" applyFont="1" applyBorder="1" applyAlignment="1">
      <alignment horizontal="center" vertical="center"/>
    </xf>
    <xf numFmtId="3" fontId="37" fillId="10" borderId="28" xfId="0" applyNumberFormat="1" applyFont="1" applyFill="1" applyBorder="1" applyAlignment="1">
      <alignment horizontal="right"/>
    </xf>
    <xf numFmtId="0" fontId="46" fillId="9" borderId="27" xfId="0" applyFont="1" applyFill="1" applyBorder="1"/>
    <xf numFmtId="0" fontId="42" fillId="12" borderId="42" xfId="0" applyFont="1" applyFill="1" applyBorder="1" applyAlignment="1">
      <alignment horizontal="center" vertical="center"/>
    </xf>
    <xf numFmtId="0" fontId="42" fillId="16" borderId="48" xfId="0" applyFont="1" applyFill="1" applyBorder="1" applyAlignment="1">
      <alignment horizontal="center" vertical="center"/>
    </xf>
    <xf numFmtId="0" fontId="42" fillId="17" borderId="50" xfId="0" applyFont="1" applyFill="1" applyBorder="1" applyAlignment="1">
      <alignment horizontal="right" vertical="center"/>
    </xf>
    <xf numFmtId="0" fontId="41" fillId="16" borderId="48" xfId="0" applyFont="1" applyFill="1" applyBorder="1"/>
    <xf numFmtId="0" fontId="42" fillId="14" borderId="50" xfId="0" applyFont="1" applyFill="1" applyBorder="1" applyAlignment="1">
      <alignment horizontal="right" vertical="center"/>
    </xf>
    <xf numFmtId="0" fontId="42" fillId="18" borderId="50" xfId="0" applyFont="1" applyFill="1" applyBorder="1" applyAlignment="1">
      <alignment horizontal="right" vertical="center"/>
    </xf>
    <xf numFmtId="0" fontId="42" fillId="10" borderId="50" xfId="0" applyFont="1" applyFill="1" applyBorder="1" applyAlignment="1">
      <alignment horizontal="right" vertical="center"/>
    </xf>
    <xf numFmtId="0" fontId="42" fillId="19" borderId="50" xfId="0" applyFont="1" applyFill="1" applyBorder="1" applyAlignment="1">
      <alignment horizontal="right" vertical="center"/>
    </xf>
    <xf numFmtId="0" fontId="42" fillId="20" borderId="50" xfId="0" applyFont="1" applyFill="1" applyBorder="1" applyAlignment="1">
      <alignment horizontal="right" vertical="center"/>
    </xf>
    <xf numFmtId="0" fontId="42" fillId="21" borderId="50" xfId="0" applyFont="1" applyFill="1" applyBorder="1" applyAlignment="1">
      <alignment horizontal="right" vertical="center"/>
    </xf>
    <xf numFmtId="0" fontId="42" fillId="22" borderId="50" xfId="0" applyFont="1" applyFill="1" applyBorder="1" applyAlignment="1">
      <alignment horizontal="right" vertical="center"/>
    </xf>
    <xf numFmtId="0" fontId="42" fillId="23" borderId="50" xfId="0" applyFont="1" applyFill="1" applyBorder="1" applyAlignment="1">
      <alignment horizontal="right" vertical="center"/>
    </xf>
    <xf numFmtId="0" fontId="42" fillId="24" borderId="50" xfId="0" applyFont="1" applyFill="1" applyBorder="1" applyAlignment="1">
      <alignment horizontal="right" vertical="center"/>
    </xf>
    <xf numFmtId="0" fontId="42" fillId="16" borderId="12" xfId="0" applyFont="1" applyFill="1" applyBorder="1" applyAlignment="1">
      <alignment horizontal="right" vertical="center"/>
    </xf>
    <xf numFmtId="0" fontId="42" fillId="25" borderId="12" xfId="0" applyFont="1" applyFill="1" applyBorder="1" applyAlignment="1">
      <alignment horizontal="right" vertical="center"/>
    </xf>
    <xf numFmtId="0" fontId="42" fillId="15" borderId="50" xfId="0" applyFont="1" applyFill="1" applyBorder="1" applyAlignment="1">
      <alignment horizontal="right" vertical="center"/>
    </xf>
    <xf numFmtId="0" fontId="42" fillId="0" borderId="0" xfId="0" applyFont="1"/>
    <xf numFmtId="0" fontId="14" fillId="0" borderId="27" xfId="0" applyFont="1" applyBorder="1"/>
    <xf numFmtId="0" fontId="14" fillId="0" borderId="28" xfId="0" applyFont="1" applyBorder="1"/>
    <xf numFmtId="0" fontId="14" fillId="0" borderId="29" xfId="0" applyFont="1" applyBorder="1"/>
    <xf numFmtId="0" fontId="14" fillId="0" borderId="31" xfId="0" applyFont="1" applyBorder="1"/>
    <xf numFmtId="0" fontId="40" fillId="0" borderId="0" xfId="0" applyFont="1" applyAlignment="1">
      <alignment horizontal="center" vertical="center"/>
    </xf>
    <xf numFmtId="9" fontId="40" fillId="0" borderId="0" xfId="0" applyNumberFormat="1" applyFont="1" applyAlignment="1">
      <alignment horizontal="center" vertical="center"/>
    </xf>
    <xf numFmtId="0" fontId="28" fillId="0" borderId="25" xfId="0" applyFont="1" applyBorder="1" applyAlignment="1">
      <alignment horizontal="right"/>
    </xf>
    <xf numFmtId="3" fontId="28" fillId="0" borderId="16" xfId="0" applyNumberFormat="1" applyFont="1" applyBorder="1" applyAlignment="1">
      <alignment horizontal="right"/>
    </xf>
    <xf numFmtId="3" fontId="28" fillId="0" borderId="9" xfId="0" applyNumberFormat="1" applyFont="1" applyBorder="1" applyAlignment="1">
      <alignment horizontal="right"/>
    </xf>
    <xf numFmtId="3" fontId="28" fillId="0" borderId="7" xfId="0" applyNumberFormat="1" applyFont="1" applyBorder="1" applyAlignment="1">
      <alignment horizontal="right"/>
    </xf>
    <xf numFmtId="3" fontId="28" fillId="0" borderId="11" xfId="0" applyNumberFormat="1" applyFont="1" applyBorder="1" applyAlignment="1">
      <alignment horizontal="right"/>
    </xf>
    <xf numFmtId="0" fontId="35" fillId="4" borderId="54" xfId="0" applyFont="1" applyFill="1" applyBorder="1" applyAlignment="1">
      <alignment horizontal="center" vertical="center"/>
    </xf>
    <xf numFmtId="0" fontId="35" fillId="4" borderId="58" xfId="0" applyFont="1" applyFill="1" applyBorder="1" applyAlignment="1">
      <alignment horizontal="center" vertical="center"/>
    </xf>
    <xf numFmtId="3" fontId="0" fillId="0" borderId="52" xfId="0" applyNumberFormat="1" applyBorder="1" applyAlignment="1">
      <alignment horizontal="center"/>
    </xf>
    <xf numFmtId="0" fontId="35" fillId="4" borderId="52" xfId="0" applyFont="1" applyFill="1" applyBorder="1" applyAlignment="1">
      <alignment horizontal="center" vertical="center"/>
    </xf>
    <xf numFmtId="3" fontId="10" fillId="7" borderId="0" xfId="0" applyNumberFormat="1" applyFont="1" applyFill="1" applyAlignment="1">
      <alignment vertical="center"/>
    </xf>
    <xf numFmtId="0" fontId="14" fillId="0" borderId="0" xfId="0" applyFont="1" applyAlignment="1">
      <alignment horizontal="center"/>
    </xf>
    <xf numFmtId="0" fontId="40" fillId="0" borderId="60" xfId="0" applyFont="1" applyBorder="1" applyAlignment="1">
      <alignment horizontal="left"/>
    </xf>
    <xf numFmtId="3" fontId="40" fillId="0" borderId="60" xfId="0" applyNumberFormat="1" applyFont="1" applyBorder="1"/>
    <xf numFmtId="0" fontId="0" fillId="0" borderId="0" xfId="0" applyAlignment="1">
      <alignment horizontal="center"/>
    </xf>
    <xf numFmtId="3" fontId="40" fillId="10" borderId="48" xfId="0" applyNumberFormat="1" applyFont="1" applyFill="1" applyBorder="1" applyAlignment="1">
      <alignment horizontal="right"/>
    </xf>
    <xf numFmtId="0" fontId="13" fillId="0" borderId="5" xfId="0" applyFont="1" applyBorder="1" applyAlignment="1">
      <alignment horizontal="center" vertical="center"/>
    </xf>
    <xf numFmtId="3" fontId="40" fillId="10" borderId="30" xfId="0" applyNumberFormat="1" applyFont="1" applyFill="1" applyBorder="1" applyAlignment="1">
      <alignment horizontal="right"/>
    </xf>
    <xf numFmtId="0" fontId="14" fillId="8" borderId="6" xfId="0" applyFont="1" applyFill="1" applyBorder="1" applyAlignment="1">
      <alignment horizontal="center" vertical="center"/>
    </xf>
    <xf numFmtId="0" fontId="14" fillId="0" borderId="26" xfId="0" applyFont="1" applyBorder="1" applyAlignment="1">
      <alignment horizontal="right"/>
    </xf>
    <xf numFmtId="0" fontId="14" fillId="0" borderId="28" xfId="0" applyFont="1" applyBorder="1" applyAlignment="1">
      <alignment horizontal="right"/>
    </xf>
    <xf numFmtId="0" fontId="14" fillId="0" borderId="9" xfId="0" applyFont="1" applyBorder="1" applyAlignment="1">
      <alignment horizontal="right"/>
    </xf>
    <xf numFmtId="0" fontId="14" fillId="0" borderId="27" xfId="0" applyFont="1" applyBorder="1" applyAlignment="1">
      <alignment horizontal="right"/>
    </xf>
    <xf numFmtId="0" fontId="14" fillId="0" borderId="1" xfId="0" applyFont="1" applyBorder="1" applyAlignment="1">
      <alignment horizontal="right"/>
    </xf>
    <xf numFmtId="0" fontId="46" fillId="9" borderId="0" xfId="0" applyFont="1" applyFill="1"/>
    <xf numFmtId="3" fontId="37" fillId="10" borderId="0" xfId="0" applyNumberFormat="1" applyFont="1" applyFill="1" applyAlignment="1">
      <alignment horizontal="right"/>
    </xf>
    <xf numFmtId="0" fontId="46" fillId="9" borderId="29" xfId="0" applyFont="1" applyFill="1" applyBorder="1"/>
    <xf numFmtId="3" fontId="37" fillId="10" borderId="31" xfId="0" applyNumberFormat="1" applyFont="1" applyFill="1" applyBorder="1" applyAlignment="1">
      <alignment horizontal="right"/>
    </xf>
    <xf numFmtId="0" fontId="45" fillId="0" borderId="0" xfId="0" applyFont="1" applyAlignment="1">
      <alignment horizontal="center" vertical="center"/>
    </xf>
    <xf numFmtId="0" fontId="14" fillId="0" borderId="49" xfId="0" applyFont="1" applyBorder="1"/>
    <xf numFmtId="0" fontId="14" fillId="0" borderId="43" xfId="0" applyFont="1" applyBorder="1"/>
    <xf numFmtId="9" fontId="14" fillId="0" borderId="50" xfId="0" applyNumberFormat="1" applyFont="1" applyBorder="1" applyAlignment="1">
      <alignment horizontal="right"/>
    </xf>
    <xf numFmtId="9" fontId="14" fillId="0" borderId="42" xfId="0" applyNumberFormat="1" applyFont="1" applyBorder="1" applyAlignment="1">
      <alignment horizontal="right"/>
    </xf>
    <xf numFmtId="0" fontId="14" fillId="8" borderId="34" xfId="0" applyFont="1" applyFill="1" applyBorder="1"/>
    <xf numFmtId="0" fontId="14" fillId="8" borderId="5" xfId="0" applyFont="1" applyFill="1" applyBorder="1" applyAlignment="1">
      <alignment horizontal="center" vertical="center"/>
    </xf>
    <xf numFmtId="0" fontId="34" fillId="2" borderId="0" xfId="0" applyFont="1" applyFill="1" applyAlignment="1">
      <alignment vertical="center"/>
    </xf>
    <xf numFmtId="3" fontId="11" fillId="0" borderId="28" xfId="0" applyNumberFormat="1" applyFont="1" applyBorder="1"/>
    <xf numFmtId="3" fontId="11" fillId="0" borderId="52" xfId="0" applyNumberFormat="1" applyFont="1" applyBorder="1"/>
    <xf numFmtId="0" fontId="37" fillId="16" borderId="48" xfId="0" applyFont="1" applyFill="1" applyBorder="1" applyAlignment="1">
      <alignment horizontal="right" vertical="center"/>
    </xf>
    <xf numFmtId="0" fontId="51" fillId="16" borderId="48" xfId="0" applyFont="1" applyFill="1" applyBorder="1" applyAlignment="1">
      <alignment horizontal="right"/>
    </xf>
    <xf numFmtId="0" fontId="52" fillId="16" borderId="48" xfId="0" applyFont="1" applyFill="1" applyBorder="1" applyAlignment="1">
      <alignment horizontal="right"/>
    </xf>
    <xf numFmtId="0" fontId="37" fillId="28" borderId="48" xfId="0" applyFont="1" applyFill="1" applyBorder="1" applyAlignment="1">
      <alignment horizontal="right" vertical="center"/>
    </xf>
    <xf numFmtId="0" fontId="51" fillId="28" borderId="48" xfId="0" applyFont="1" applyFill="1" applyBorder="1" applyAlignment="1">
      <alignment horizontal="right"/>
    </xf>
    <xf numFmtId="0" fontId="52" fillId="28" borderId="48" xfId="0" applyFont="1" applyFill="1" applyBorder="1" applyAlignment="1">
      <alignment horizontal="right"/>
    </xf>
    <xf numFmtId="0" fontId="17" fillId="4" borderId="48" xfId="0" applyFont="1" applyFill="1" applyBorder="1"/>
    <xf numFmtId="3" fontId="24" fillId="6" borderId="36" xfId="1" applyNumberFormat="1" applyFont="1" applyFill="1" applyBorder="1" applyAlignment="1">
      <alignment horizontal="right" vertical="center"/>
    </xf>
    <xf numFmtId="0" fontId="20" fillId="4" borderId="62" xfId="0" applyFont="1" applyFill="1" applyBorder="1" applyAlignment="1">
      <alignment vertical="center"/>
    </xf>
    <xf numFmtId="3" fontId="24" fillId="6" borderId="6" xfId="1" applyNumberFormat="1" applyFont="1" applyFill="1" applyAlignment="1">
      <alignment horizontal="right" vertical="center"/>
    </xf>
    <xf numFmtId="164" fontId="24" fillId="6" borderId="6" xfId="1" applyNumberFormat="1" applyFont="1" applyFill="1" applyAlignment="1">
      <alignment horizontal="right" vertical="center"/>
    </xf>
    <xf numFmtId="0" fontId="11" fillId="5" borderId="30" xfId="0" applyFont="1" applyFill="1" applyBorder="1" applyAlignment="1">
      <alignment horizontal="right" vertical="center"/>
    </xf>
    <xf numFmtId="0" fontId="14" fillId="21" borderId="20" xfId="0" applyFont="1" applyFill="1" applyBorder="1"/>
    <xf numFmtId="0" fontId="29" fillId="7" borderId="6" xfId="0" applyFont="1" applyFill="1" applyBorder="1" applyAlignment="1">
      <alignment horizontal="center" vertical="center"/>
    </xf>
    <xf numFmtId="0" fontId="29" fillId="7" borderId="12" xfId="0" applyFont="1" applyFill="1" applyBorder="1" applyAlignment="1">
      <alignment horizontal="center" vertical="center"/>
    </xf>
    <xf numFmtId="0" fontId="29" fillId="7" borderId="13" xfId="0" applyFont="1" applyFill="1" applyBorder="1" applyAlignment="1">
      <alignment horizontal="center" vertical="center"/>
    </xf>
    <xf numFmtId="0" fontId="29" fillId="7" borderId="32" xfId="0" applyFont="1" applyFill="1" applyBorder="1" applyAlignment="1">
      <alignment horizontal="center" vertical="center"/>
    </xf>
    <xf numFmtId="0" fontId="29" fillId="7" borderId="5" xfId="0" applyFont="1" applyFill="1" applyBorder="1" applyAlignment="1">
      <alignment horizontal="center" vertical="center"/>
    </xf>
    <xf numFmtId="0" fontId="35" fillId="4" borderId="53" xfId="0" applyFont="1" applyFill="1" applyBorder="1" applyAlignment="1">
      <alignment horizontal="center" vertical="center"/>
    </xf>
    <xf numFmtId="0" fontId="53" fillId="27" borderId="6" xfId="0" applyFont="1" applyFill="1" applyBorder="1" applyAlignment="1">
      <alignment horizontal="center" vertical="center"/>
    </xf>
    <xf numFmtId="0" fontId="53" fillId="26" borderId="26" xfId="0" applyFont="1" applyFill="1" applyBorder="1"/>
    <xf numFmtId="0" fontId="53" fillId="26" borderId="29" xfId="0" applyFont="1" applyFill="1" applyBorder="1" applyAlignment="1">
      <alignment horizontal="right"/>
    </xf>
    <xf numFmtId="0" fontId="53" fillId="26" borderId="31" xfId="0" applyFont="1" applyFill="1" applyBorder="1"/>
    <xf numFmtId="0" fontId="42" fillId="0" borderId="48" xfId="0" applyFont="1" applyBorder="1" applyAlignment="1">
      <alignment horizontal="right" vertical="center"/>
    </xf>
    <xf numFmtId="0" fontId="42" fillId="0" borderId="48" xfId="0" applyFont="1" applyBorder="1" applyAlignment="1">
      <alignment horizontal="right"/>
    </xf>
    <xf numFmtId="166" fontId="42" fillId="8" borderId="32" xfId="0" applyNumberFormat="1" applyFont="1" applyFill="1" applyBorder="1" applyAlignment="1">
      <alignment horizontal="center"/>
    </xf>
    <xf numFmtId="3" fontId="28" fillId="5" borderId="48" xfId="1" applyNumberFormat="1" applyFont="1" applyFill="1" applyBorder="1" applyAlignment="1"/>
    <xf numFmtId="3" fontId="10" fillId="6" borderId="30" xfId="0" applyNumberFormat="1" applyFont="1" applyFill="1" applyBorder="1" applyAlignment="1">
      <alignment vertical="center"/>
    </xf>
    <xf numFmtId="0" fontId="10" fillId="6" borderId="30" xfId="0" applyFont="1" applyFill="1" applyBorder="1" applyAlignment="1">
      <alignment vertical="center"/>
    </xf>
    <xf numFmtId="3" fontId="30" fillId="5" borderId="48" xfId="1" applyNumberFormat="1" applyFont="1" applyFill="1" applyBorder="1" applyAlignment="1">
      <alignment horizontal="right"/>
    </xf>
    <xf numFmtId="0" fontId="41" fillId="0" borderId="48" xfId="0" applyFont="1" applyBorder="1"/>
    <xf numFmtId="0" fontId="42" fillId="0" borderId="0" xfId="0" applyFont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54" fillId="0" borderId="61" xfId="0" applyFont="1" applyBorder="1" applyAlignment="1">
      <alignment horizontal="right" vertical="center"/>
    </xf>
    <xf numFmtId="3" fontId="54" fillId="5" borderId="63" xfId="1" applyNumberFormat="1" applyFont="1" applyFill="1" applyBorder="1" applyAlignment="1">
      <alignment horizontal="right"/>
    </xf>
    <xf numFmtId="3" fontId="54" fillId="4" borderId="63" xfId="0" applyNumberFormat="1" applyFont="1" applyFill="1" applyBorder="1" applyAlignment="1">
      <alignment horizontal="right"/>
    </xf>
    <xf numFmtId="3" fontId="54" fillId="0" borderId="63" xfId="0" applyNumberFormat="1" applyFont="1" applyBorder="1" applyAlignment="1">
      <alignment horizontal="right"/>
    </xf>
    <xf numFmtId="0" fontId="54" fillId="4" borderId="63" xfId="0" applyFont="1" applyFill="1" applyBorder="1" applyAlignment="1">
      <alignment horizontal="right" vertical="center"/>
    </xf>
    <xf numFmtId="0" fontId="54" fillId="0" borderId="63" xfId="0" applyFont="1" applyBorder="1" applyAlignment="1">
      <alignment horizontal="right"/>
    </xf>
    <xf numFmtId="0" fontId="54" fillId="0" borderId="63" xfId="0" applyFont="1" applyBorder="1" applyAlignment="1">
      <alignment horizontal="right" vertical="center" wrapText="1"/>
    </xf>
    <xf numFmtId="0" fontId="54" fillId="0" borderId="48" xfId="0" applyFont="1" applyBorder="1" applyAlignment="1">
      <alignment horizontal="center" vertical="center"/>
    </xf>
    <xf numFmtId="0" fontId="54" fillId="0" borderId="8" xfId="0" applyFont="1" applyBorder="1" applyAlignment="1">
      <alignment horizontal="center" vertical="center"/>
    </xf>
    <xf numFmtId="167" fontId="57" fillId="6" borderId="61" xfId="0" applyNumberFormat="1" applyFont="1" applyFill="1" applyBorder="1" applyAlignment="1">
      <alignment horizontal="right" vertical="center"/>
    </xf>
    <xf numFmtId="167" fontId="24" fillId="6" borderId="48" xfId="0" applyNumberFormat="1" applyFont="1" applyFill="1" applyBorder="1" applyAlignment="1">
      <alignment horizontal="right" vertical="center"/>
    </xf>
    <xf numFmtId="167" fontId="3" fillId="6" borderId="29" xfId="0" applyNumberFormat="1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11" fillId="0" borderId="27" xfId="0" applyFont="1" applyBorder="1" applyAlignment="1">
      <alignment horizontal="right"/>
    </xf>
    <xf numFmtId="0" fontId="54" fillId="0" borderId="39" xfId="0" applyFont="1" applyBorder="1" applyAlignment="1">
      <alignment horizontal="center" vertical="center"/>
    </xf>
    <xf numFmtId="3" fontId="37" fillId="10" borderId="53" xfId="0" applyNumberFormat="1" applyFont="1" applyFill="1" applyBorder="1" applyAlignment="1">
      <alignment horizontal="right"/>
    </xf>
    <xf numFmtId="3" fontId="37" fillId="10" borderId="48" xfId="0" applyNumberFormat="1" applyFont="1" applyFill="1" applyBorder="1" applyAlignment="1">
      <alignment horizontal="right"/>
    </xf>
    <xf numFmtId="0" fontId="11" fillId="0" borderId="25" xfId="0" applyFont="1" applyBorder="1" applyAlignment="1">
      <alignment horizontal="right"/>
    </xf>
    <xf numFmtId="3" fontId="37" fillId="10" borderId="59" xfId="0" applyNumberFormat="1" applyFont="1" applyFill="1" applyBorder="1" applyAlignment="1">
      <alignment horizontal="right"/>
    </xf>
    <xf numFmtId="0" fontId="54" fillId="0" borderId="26" xfId="0" applyFont="1" applyBorder="1" applyAlignment="1">
      <alignment horizontal="center" vertical="center"/>
    </xf>
    <xf numFmtId="0" fontId="54" fillId="0" borderId="28" xfId="0" applyFont="1" applyBorder="1" applyAlignment="1">
      <alignment horizontal="center" vertical="center"/>
    </xf>
    <xf numFmtId="3" fontId="37" fillId="10" borderId="30" xfId="0" applyNumberFormat="1" applyFont="1" applyFill="1" applyBorder="1" applyAlignment="1">
      <alignment horizontal="right"/>
    </xf>
    <xf numFmtId="0" fontId="54" fillId="0" borderId="31" xfId="0" applyFont="1" applyBorder="1" applyAlignment="1">
      <alignment horizontal="center" vertical="center"/>
    </xf>
    <xf numFmtId="0" fontId="14" fillId="9" borderId="0" xfId="0" applyFont="1" applyFill="1"/>
    <xf numFmtId="0" fontId="40" fillId="0" borderId="0" xfId="0" applyFont="1" applyAlignment="1">
      <alignment vertical="center" wrapText="1"/>
    </xf>
    <xf numFmtId="0" fontId="14" fillId="9" borderId="27" xfId="0" applyFont="1" applyFill="1" applyBorder="1"/>
    <xf numFmtId="0" fontId="14" fillId="9" borderId="29" xfId="0" applyFont="1" applyFill="1" applyBorder="1"/>
    <xf numFmtId="0" fontId="14" fillId="9" borderId="35" xfId="0" applyFont="1" applyFill="1" applyBorder="1"/>
    <xf numFmtId="49" fontId="15" fillId="8" borderId="51" xfId="0" applyNumberFormat="1" applyFont="1" applyFill="1" applyBorder="1" applyAlignment="1">
      <alignment horizontal="center"/>
    </xf>
    <xf numFmtId="49" fontId="15" fillId="8" borderId="32" xfId="0" applyNumberFormat="1" applyFont="1" applyFill="1" applyBorder="1" applyAlignment="1">
      <alignment horizontal="center"/>
    </xf>
    <xf numFmtId="3" fontId="28" fillId="0" borderId="48" xfId="0" applyNumberFormat="1" applyFont="1" applyBorder="1"/>
    <xf numFmtId="0" fontId="28" fillId="0" borderId="48" xfId="0" applyFont="1" applyBorder="1" applyAlignment="1">
      <alignment vertical="center"/>
    </xf>
    <xf numFmtId="0" fontId="28" fillId="0" borderId="48" xfId="0" applyFont="1" applyBorder="1"/>
    <xf numFmtId="0" fontId="58" fillId="0" borderId="48" xfId="0" applyFont="1" applyBorder="1" applyAlignment="1">
      <alignment horizontal="center" vertical="center"/>
    </xf>
    <xf numFmtId="0" fontId="55" fillId="0" borderId="61" xfId="0" applyFont="1" applyBorder="1" applyAlignment="1">
      <alignment horizontal="right" vertical="center"/>
    </xf>
    <xf numFmtId="3" fontId="11" fillId="5" borderId="48" xfId="1" applyNumberFormat="1" applyFont="1" applyFill="1" applyBorder="1" applyAlignment="1">
      <alignment horizontal="right"/>
    </xf>
    <xf numFmtId="3" fontId="11" fillId="4" borderId="48" xfId="0" applyNumberFormat="1" applyFont="1" applyFill="1" applyBorder="1" applyAlignment="1">
      <alignment horizontal="right"/>
    </xf>
    <xf numFmtId="0" fontId="11" fillId="4" borderId="48" xfId="0" applyFont="1" applyFill="1" applyBorder="1" applyAlignment="1">
      <alignment horizontal="right" vertical="center"/>
    </xf>
    <xf numFmtId="3" fontId="11" fillId="0" borderId="48" xfId="0" applyNumberFormat="1" applyFont="1" applyBorder="1" applyAlignment="1">
      <alignment horizontal="right"/>
    </xf>
    <xf numFmtId="0" fontId="10" fillId="7" borderId="12" xfId="0" applyFont="1" applyFill="1" applyBorder="1" applyAlignment="1">
      <alignment horizontal="center" vertical="center"/>
    </xf>
    <xf numFmtId="0" fontId="45" fillId="0" borderId="51" xfId="0" applyFont="1" applyBorder="1" applyAlignment="1">
      <alignment horizontal="center" vertical="center"/>
    </xf>
    <xf numFmtId="0" fontId="54" fillId="0" borderId="5" xfId="0" applyFont="1" applyBorder="1" applyAlignment="1">
      <alignment horizontal="center" vertical="center"/>
    </xf>
    <xf numFmtId="3" fontId="45" fillId="0" borderId="32" xfId="0" applyNumberFormat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3" fontId="37" fillId="10" borderId="8" xfId="0" applyNumberFormat="1" applyFont="1" applyFill="1" applyBorder="1" applyAlignment="1">
      <alignment horizontal="right" vertical="center"/>
    </xf>
    <xf numFmtId="3" fontId="37" fillId="10" borderId="48" xfId="0" applyNumberFormat="1" applyFont="1" applyFill="1" applyBorder="1" applyAlignment="1">
      <alignment horizontal="right" vertical="center"/>
    </xf>
    <xf numFmtId="0" fontId="11" fillId="0" borderId="8" xfId="0" applyFont="1" applyBorder="1" applyAlignment="1">
      <alignment horizontal="right" vertical="center"/>
    </xf>
    <xf numFmtId="0" fontId="11" fillId="0" borderId="48" xfId="0" applyFont="1" applyBorder="1" applyAlignment="1">
      <alignment horizontal="right" vertical="center"/>
    </xf>
    <xf numFmtId="0" fontId="32" fillId="0" borderId="48" xfId="0" applyFont="1" applyBorder="1"/>
    <xf numFmtId="3" fontId="11" fillId="5" borderId="48" xfId="1" applyNumberFormat="1" applyFont="1" applyFill="1" applyBorder="1" applyAlignment="1"/>
    <xf numFmtId="0" fontId="11" fillId="4" borderId="48" xfId="0" applyFont="1" applyFill="1" applyBorder="1" applyAlignment="1">
      <alignment vertical="center"/>
    </xf>
    <xf numFmtId="0" fontId="11" fillId="0" borderId="63" xfId="0" applyFont="1" applyBorder="1" applyAlignment="1">
      <alignment horizontal="right"/>
    </xf>
    <xf numFmtId="3" fontId="11" fillId="4" borderId="41" xfId="0" applyNumberFormat="1" applyFont="1" applyFill="1" applyBorder="1" applyAlignment="1">
      <alignment horizontal="right"/>
    </xf>
    <xf numFmtId="0" fontId="11" fillId="4" borderId="8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0" fontId="11" fillId="4" borderId="48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13" fillId="0" borderId="48" xfId="0" applyFont="1" applyBorder="1" applyAlignment="1">
      <alignment horizontal="center" vertical="center"/>
    </xf>
    <xf numFmtId="168" fontId="13" fillId="0" borderId="48" xfId="0" applyNumberFormat="1" applyFont="1" applyBorder="1" applyAlignment="1">
      <alignment horizontal="center" vertical="center"/>
    </xf>
    <xf numFmtId="0" fontId="59" fillId="0" borderId="0" xfId="0" applyFont="1" applyAlignment="1">
      <alignment horizontal="right"/>
    </xf>
    <xf numFmtId="0" fontId="0" fillId="29" borderId="0" xfId="0" applyFill="1"/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3" fontId="60" fillId="0" borderId="9" xfId="0" applyNumberFormat="1" applyFont="1" applyBorder="1"/>
    <xf numFmtId="3" fontId="61" fillId="0" borderId="42" xfId="0" applyNumberFormat="1" applyFont="1" applyBorder="1"/>
    <xf numFmtId="3" fontId="60" fillId="0" borderId="48" xfId="0" applyNumberFormat="1" applyFont="1" applyBorder="1" applyAlignment="1">
      <alignment horizontal="right"/>
    </xf>
    <xf numFmtId="3" fontId="60" fillId="0" borderId="48" xfId="0" applyNumberFormat="1" applyFont="1" applyBorder="1" applyAlignment="1">
      <alignment horizontal="center"/>
    </xf>
    <xf numFmtId="0" fontId="60" fillId="0" borderId="7" xfId="0" applyFont="1" applyBorder="1" applyAlignment="1">
      <alignment horizontal="center"/>
    </xf>
    <xf numFmtId="3" fontId="60" fillId="0" borderId="42" xfId="0" applyNumberFormat="1" applyFont="1" applyBorder="1"/>
    <xf numFmtId="0" fontId="60" fillId="0" borderId="9" xfId="0" applyFont="1" applyBorder="1" applyAlignment="1">
      <alignment horizontal="center"/>
    </xf>
    <xf numFmtId="3" fontId="60" fillId="0" borderId="64" xfId="0" applyNumberFormat="1" applyFont="1" applyBorder="1"/>
    <xf numFmtId="3" fontId="60" fillId="0" borderId="17" xfId="0" applyNumberFormat="1" applyFont="1" applyBorder="1" applyAlignment="1">
      <alignment horizontal="right"/>
    </xf>
    <xf numFmtId="3" fontId="60" fillId="0" borderId="17" xfId="0" applyNumberFormat="1" applyFont="1" applyBorder="1" applyAlignment="1">
      <alignment horizontal="center"/>
    </xf>
    <xf numFmtId="0" fontId="60" fillId="0" borderId="33" xfId="0" applyFont="1" applyBorder="1" applyAlignment="1">
      <alignment horizontal="center"/>
    </xf>
    <xf numFmtId="3" fontId="60" fillId="0" borderId="11" xfId="0" applyNumberFormat="1" applyFont="1" applyBorder="1"/>
    <xf numFmtId="0" fontId="60" fillId="0" borderId="0" xfId="0" applyFont="1"/>
    <xf numFmtId="0" fontId="60" fillId="0" borderId="0" xfId="0" applyFont="1" applyAlignment="1">
      <alignment horizontal="right"/>
    </xf>
    <xf numFmtId="0" fontId="65" fillId="32" borderId="65" xfId="0" applyFont="1" applyFill="1" applyBorder="1" applyAlignment="1">
      <alignment horizontal="center" vertical="center" wrapText="1" readingOrder="2"/>
    </xf>
    <xf numFmtId="0" fontId="64" fillId="31" borderId="66" xfId="0" applyFont="1" applyFill="1" applyBorder="1" applyAlignment="1">
      <alignment horizontal="center" vertical="center" wrapText="1" readingOrder="2"/>
    </xf>
    <xf numFmtId="0" fontId="63" fillId="30" borderId="68" xfId="0" applyFont="1" applyFill="1" applyBorder="1" applyAlignment="1">
      <alignment vertical="center" wrapText="1" readingOrder="2"/>
    </xf>
    <xf numFmtId="0" fontId="63" fillId="30" borderId="69" xfId="0" applyFont="1" applyFill="1" applyBorder="1" applyAlignment="1">
      <alignment horizontal="center" vertical="center" wrapText="1" readingOrder="2"/>
    </xf>
    <xf numFmtId="0" fontId="64" fillId="31" borderId="70" xfId="0" applyFont="1" applyFill="1" applyBorder="1" applyAlignment="1">
      <alignment horizontal="center" vertical="center" wrapText="1" readingOrder="2"/>
    </xf>
    <xf numFmtId="0" fontId="66" fillId="32" borderId="71" xfId="0" applyFont="1" applyFill="1" applyBorder="1" applyAlignment="1">
      <alignment horizontal="center" vertical="center" wrapText="1" readingOrder="2"/>
    </xf>
    <xf numFmtId="0" fontId="65" fillId="0" borderId="65" xfId="0" applyFont="1" applyBorder="1" applyAlignment="1">
      <alignment horizontal="center" vertical="center" wrapText="1" readingOrder="2"/>
    </xf>
    <xf numFmtId="0" fontId="67" fillId="0" borderId="0" xfId="0" applyFont="1" applyAlignment="1">
      <alignment horizontal="center" vertical="center" wrapText="1" readingOrder="2"/>
    </xf>
    <xf numFmtId="3" fontId="67" fillId="0" borderId="0" xfId="0" applyNumberFormat="1" applyFont="1" applyAlignment="1">
      <alignment horizontal="center" vertical="center" wrapText="1" readingOrder="2"/>
    </xf>
    <xf numFmtId="0" fontId="68" fillId="0" borderId="0" xfId="0" applyFont="1" applyAlignment="1">
      <alignment horizontal="center" vertical="center" wrapText="1" readingOrder="2"/>
    </xf>
    <xf numFmtId="166" fontId="65" fillId="32" borderId="65" xfId="0" applyNumberFormat="1" applyFont="1" applyFill="1" applyBorder="1" applyAlignment="1">
      <alignment horizontal="right" vertical="center" wrapText="1" readingOrder="2"/>
    </xf>
    <xf numFmtId="166" fontId="65" fillId="0" borderId="65" xfId="0" applyNumberFormat="1" applyFont="1" applyBorder="1" applyAlignment="1">
      <alignment horizontal="right" vertical="center" wrapText="1" readingOrder="2"/>
    </xf>
    <xf numFmtId="166" fontId="66" fillId="32" borderId="71" xfId="0" applyNumberFormat="1" applyFont="1" applyFill="1" applyBorder="1" applyAlignment="1">
      <alignment horizontal="right" vertical="center" wrapText="1" readingOrder="2"/>
    </xf>
    <xf numFmtId="166" fontId="0" fillId="0" borderId="0" xfId="0" applyNumberFormat="1" applyAlignment="1">
      <alignment horizontal="right"/>
    </xf>
    <xf numFmtId="166" fontId="68" fillId="32" borderId="67" xfId="0" applyNumberFormat="1" applyFont="1" applyFill="1" applyBorder="1" applyAlignment="1">
      <alignment horizontal="right" vertical="center" wrapText="1" readingOrder="2"/>
    </xf>
    <xf numFmtId="166" fontId="68" fillId="0" borderId="67" xfId="0" applyNumberFormat="1" applyFont="1" applyBorder="1" applyAlignment="1">
      <alignment horizontal="right" vertical="center" wrapText="1" readingOrder="2"/>
    </xf>
    <xf numFmtId="166" fontId="70" fillId="32" borderId="72" xfId="0" applyNumberFormat="1" applyFont="1" applyFill="1" applyBorder="1" applyAlignment="1">
      <alignment horizontal="right" vertical="center" wrapText="1" readingOrder="2"/>
    </xf>
    <xf numFmtId="0" fontId="71" fillId="31" borderId="74" xfId="0" applyFont="1" applyFill="1" applyBorder="1" applyAlignment="1">
      <alignment horizontal="right" vertical="center" wrapText="1" readingOrder="2"/>
    </xf>
    <xf numFmtId="0" fontId="71" fillId="31" borderId="73" xfId="0" applyFont="1" applyFill="1" applyBorder="1" applyAlignment="1">
      <alignment horizontal="right" vertical="center" wrapText="1" readingOrder="2"/>
    </xf>
    <xf numFmtId="0" fontId="69" fillId="34" borderId="0" xfId="0" applyFont="1" applyFill="1" applyAlignment="1">
      <alignment vertical="center"/>
    </xf>
    <xf numFmtId="0" fontId="0" fillId="0" borderId="48" xfId="0" applyBorder="1"/>
    <xf numFmtId="0" fontId="26" fillId="34" borderId="48" xfId="0" applyFont="1" applyFill="1" applyBorder="1" applyAlignment="1">
      <alignment horizontal="center" vertical="center"/>
    </xf>
    <xf numFmtId="0" fontId="26" fillId="34" borderId="42" xfId="0" applyFont="1" applyFill="1" applyBorder="1" applyAlignment="1">
      <alignment horizontal="center" vertical="center"/>
    </xf>
    <xf numFmtId="0" fontId="0" fillId="20" borderId="51" xfId="0" applyFill="1" applyBorder="1" applyAlignment="1">
      <alignment horizontal="center" vertical="center"/>
    </xf>
    <xf numFmtId="0" fontId="0" fillId="21" borderId="32" xfId="0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21" borderId="51" xfId="0" applyFill="1" applyBorder="1" applyAlignment="1">
      <alignment horizontal="center" vertical="center"/>
    </xf>
    <xf numFmtId="0" fontId="0" fillId="21" borderId="35" xfId="0" applyFill="1" applyBorder="1" applyAlignment="1">
      <alignment horizontal="center" vertical="center"/>
    </xf>
    <xf numFmtId="0" fontId="0" fillId="21" borderId="53" xfId="0" applyFill="1" applyBorder="1" applyAlignment="1">
      <alignment horizontal="center" vertical="center"/>
    </xf>
    <xf numFmtId="0" fontId="0" fillId="21" borderId="27" xfId="0" applyFill="1" applyBorder="1" applyAlignment="1">
      <alignment horizontal="center" vertical="center"/>
    </xf>
    <xf numFmtId="0" fontId="0" fillId="21" borderId="28" xfId="0" applyFill="1" applyBorder="1" applyAlignment="1">
      <alignment horizontal="center" vertical="center"/>
    </xf>
    <xf numFmtId="0" fontId="0" fillId="21" borderId="29" xfId="0" applyFill="1" applyBorder="1" applyAlignment="1">
      <alignment horizontal="center" vertical="center"/>
    </xf>
    <xf numFmtId="0" fontId="0" fillId="21" borderId="31" xfId="0" applyFill="1" applyBorder="1" applyAlignment="1">
      <alignment horizontal="center" vertical="center"/>
    </xf>
    <xf numFmtId="0" fontId="0" fillId="25" borderId="51" xfId="0" applyFill="1" applyBorder="1" applyAlignment="1">
      <alignment horizontal="center" vertical="center"/>
    </xf>
    <xf numFmtId="0" fontId="0" fillId="25" borderId="32" xfId="0" applyFill="1" applyBorder="1" applyAlignment="1">
      <alignment horizontal="center" vertical="center"/>
    </xf>
    <xf numFmtId="0" fontId="0" fillId="25" borderId="35" xfId="0" applyFill="1" applyBorder="1" applyAlignment="1">
      <alignment horizontal="center" vertical="center"/>
    </xf>
    <xf numFmtId="0" fontId="0" fillId="25" borderId="53" xfId="0" applyFill="1" applyBorder="1" applyAlignment="1">
      <alignment horizontal="center" vertical="center"/>
    </xf>
    <xf numFmtId="0" fontId="0" fillId="25" borderId="27" xfId="0" applyFill="1" applyBorder="1" applyAlignment="1">
      <alignment horizontal="center" vertical="center"/>
    </xf>
    <xf numFmtId="0" fontId="0" fillId="25" borderId="28" xfId="0" applyFill="1" applyBorder="1" applyAlignment="1">
      <alignment horizontal="center" vertical="center"/>
    </xf>
    <xf numFmtId="0" fontId="0" fillId="25" borderId="29" xfId="0" applyFill="1" applyBorder="1" applyAlignment="1">
      <alignment horizontal="center" vertical="center"/>
    </xf>
    <xf numFmtId="0" fontId="0" fillId="25" borderId="31" xfId="0" applyFill="1" applyBorder="1" applyAlignment="1">
      <alignment horizontal="center" vertical="center"/>
    </xf>
    <xf numFmtId="0" fontId="0" fillId="35" borderId="51" xfId="0" applyFill="1" applyBorder="1" applyAlignment="1">
      <alignment horizontal="center" vertical="center"/>
    </xf>
    <xf numFmtId="0" fontId="0" fillId="35" borderId="32" xfId="0" applyFill="1" applyBorder="1" applyAlignment="1">
      <alignment horizontal="center" vertical="center"/>
    </xf>
    <xf numFmtId="0" fontId="0" fillId="35" borderId="35" xfId="0" applyFill="1" applyBorder="1" applyAlignment="1">
      <alignment horizontal="center" vertical="center"/>
    </xf>
    <xf numFmtId="0" fontId="0" fillId="35" borderId="53" xfId="0" applyFill="1" applyBorder="1" applyAlignment="1">
      <alignment horizontal="center" vertical="center"/>
    </xf>
    <xf numFmtId="0" fontId="0" fillId="35" borderId="27" xfId="0" applyFill="1" applyBorder="1" applyAlignment="1">
      <alignment horizontal="center" vertical="center"/>
    </xf>
    <xf numFmtId="0" fontId="0" fillId="35" borderId="28" xfId="0" applyFill="1" applyBorder="1" applyAlignment="1">
      <alignment horizontal="center" vertical="center"/>
    </xf>
    <xf numFmtId="0" fontId="0" fillId="35" borderId="29" xfId="0" applyFill="1" applyBorder="1" applyAlignment="1">
      <alignment horizontal="center" vertical="center"/>
    </xf>
    <xf numFmtId="0" fontId="0" fillId="35" borderId="31" xfId="0" applyFill="1" applyBorder="1" applyAlignment="1">
      <alignment horizontal="center" vertical="center"/>
    </xf>
    <xf numFmtId="0" fontId="0" fillId="10" borderId="51" xfId="0" applyFill="1" applyBorder="1" applyAlignment="1">
      <alignment horizontal="center" vertical="center"/>
    </xf>
    <xf numFmtId="0" fontId="0" fillId="10" borderId="32" xfId="0" applyFill="1" applyBorder="1" applyAlignment="1">
      <alignment horizontal="center" vertical="center"/>
    </xf>
    <xf numFmtId="0" fontId="0" fillId="10" borderId="35" xfId="0" applyFill="1" applyBorder="1" applyAlignment="1">
      <alignment horizontal="center" vertical="center"/>
    </xf>
    <xf numFmtId="0" fontId="0" fillId="10" borderId="53" xfId="0" applyFill="1" applyBorder="1" applyAlignment="1">
      <alignment horizontal="center" vertical="center"/>
    </xf>
    <xf numFmtId="0" fontId="0" fillId="10" borderId="27" xfId="0" applyFill="1" applyBorder="1" applyAlignment="1">
      <alignment horizontal="center" vertical="center"/>
    </xf>
    <xf numFmtId="0" fontId="0" fillId="10" borderId="28" xfId="0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10" borderId="31" xfId="0" applyFill="1" applyBorder="1" applyAlignment="1">
      <alignment horizontal="center" vertical="center"/>
    </xf>
    <xf numFmtId="0" fontId="0" fillId="36" borderId="51" xfId="0" applyFill="1" applyBorder="1" applyAlignment="1">
      <alignment horizontal="center" vertical="center"/>
    </xf>
    <xf numFmtId="0" fontId="0" fillId="36" borderId="32" xfId="0" applyFill="1" applyBorder="1" applyAlignment="1">
      <alignment horizontal="center" vertical="center"/>
    </xf>
    <xf numFmtId="0" fontId="0" fillId="36" borderId="35" xfId="0" applyFill="1" applyBorder="1" applyAlignment="1">
      <alignment horizontal="center" vertical="center"/>
    </xf>
    <xf numFmtId="0" fontId="0" fillId="36" borderId="53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8" xfId="0" applyFill="1" applyBorder="1" applyAlignment="1">
      <alignment horizontal="center" vertical="center"/>
    </xf>
    <xf numFmtId="0" fontId="0" fillId="36" borderId="29" xfId="0" applyFill="1" applyBorder="1" applyAlignment="1">
      <alignment horizontal="center" vertical="center"/>
    </xf>
    <xf numFmtId="0" fontId="0" fillId="36" borderId="31" xfId="0" applyFill="1" applyBorder="1" applyAlignment="1">
      <alignment horizontal="center" vertical="center"/>
    </xf>
    <xf numFmtId="0" fontId="0" fillId="20" borderId="32" xfId="0" applyFill="1" applyBorder="1" applyAlignment="1">
      <alignment horizontal="center" vertical="center"/>
    </xf>
    <xf numFmtId="0" fontId="0" fillId="20" borderId="35" xfId="0" applyFill="1" applyBorder="1" applyAlignment="1">
      <alignment horizontal="center" vertical="center"/>
    </xf>
    <xf numFmtId="0" fontId="0" fillId="20" borderId="53" xfId="0" applyFill="1" applyBorder="1" applyAlignment="1">
      <alignment horizontal="center" vertical="center"/>
    </xf>
    <xf numFmtId="0" fontId="0" fillId="20" borderId="27" xfId="0" applyFill="1" applyBorder="1" applyAlignment="1">
      <alignment horizontal="center" vertical="center"/>
    </xf>
    <xf numFmtId="0" fontId="0" fillId="20" borderId="28" xfId="0" applyFill="1" applyBorder="1" applyAlignment="1">
      <alignment horizontal="center" vertical="center"/>
    </xf>
    <xf numFmtId="0" fontId="0" fillId="20" borderId="29" xfId="0" applyFill="1" applyBorder="1" applyAlignment="1">
      <alignment horizontal="center" vertical="center"/>
    </xf>
    <xf numFmtId="0" fontId="0" fillId="20" borderId="31" xfId="0" applyFill="1" applyBorder="1" applyAlignment="1">
      <alignment horizontal="center" vertical="center"/>
    </xf>
    <xf numFmtId="0" fontId="0" fillId="37" borderId="48" xfId="0" applyFill="1" applyBorder="1" applyAlignment="1">
      <alignment horizontal="center" vertical="center"/>
    </xf>
    <xf numFmtId="0" fontId="0" fillId="37" borderId="48" xfId="0" applyFill="1" applyBorder="1"/>
    <xf numFmtId="0" fontId="46" fillId="26" borderId="25" xfId="0" applyFont="1" applyFill="1" applyBorder="1"/>
    <xf numFmtId="0" fontId="73" fillId="0" borderId="48" xfId="0" applyFont="1" applyBorder="1" applyAlignment="1">
      <alignment horizontal="center" vertical="center"/>
    </xf>
    <xf numFmtId="170" fontId="0" fillId="0" borderId="0" xfId="0" applyNumberFormat="1"/>
    <xf numFmtId="0" fontId="76" fillId="2" borderId="0" xfId="0" applyFont="1" applyFill="1" applyAlignment="1">
      <alignment horizontal="center" vertical="center"/>
    </xf>
    <xf numFmtId="0" fontId="78" fillId="2" borderId="21" xfId="0" applyFont="1" applyFill="1" applyBorder="1" applyAlignment="1">
      <alignment vertical="center"/>
    </xf>
    <xf numFmtId="168" fontId="32" fillId="6" borderId="6" xfId="0" applyNumberFormat="1" applyFont="1" applyFill="1" applyBorder="1" applyAlignment="1">
      <alignment horizontal="right" vertical="center"/>
    </xf>
    <xf numFmtId="169" fontId="24" fillId="6" borderId="6" xfId="0" applyNumberFormat="1" applyFont="1" applyFill="1" applyBorder="1" applyAlignment="1">
      <alignment vertical="center"/>
    </xf>
    <xf numFmtId="168" fontId="24" fillId="6" borderId="38" xfId="0" applyNumberFormat="1" applyFont="1" applyFill="1" applyBorder="1" applyAlignment="1">
      <alignment horizontal="right" vertical="center"/>
    </xf>
    <xf numFmtId="3" fontId="11" fillId="4" borderId="48" xfId="0" applyNumberFormat="1" applyFont="1" applyFill="1" applyBorder="1"/>
    <xf numFmtId="168" fontId="3" fillId="6" borderId="29" xfId="0" applyNumberFormat="1" applyFont="1" applyFill="1" applyBorder="1" applyAlignment="1">
      <alignment vertical="center"/>
    </xf>
    <xf numFmtId="0" fontId="75" fillId="0" borderId="0" xfId="0" applyFont="1" applyAlignment="1">
      <alignment horizontal="center" vertical="center"/>
    </xf>
    <xf numFmtId="0" fontId="77" fillId="0" borderId="0" xfId="0" applyFont="1" applyAlignment="1">
      <alignment vertical="center"/>
    </xf>
    <xf numFmtId="0" fontId="81" fillId="0" borderId="0" xfId="0" applyFont="1" applyAlignment="1">
      <alignment horizontal="center" vertical="center"/>
    </xf>
    <xf numFmtId="0" fontId="81" fillId="0" borderId="0" xfId="0" applyFont="1" applyAlignment="1" applyProtection="1">
      <alignment horizontal="center" vertical="center"/>
      <protection locked="0"/>
    </xf>
    <xf numFmtId="0" fontId="83" fillId="0" borderId="0" xfId="0" applyFont="1" applyAlignment="1">
      <alignment vertical="center"/>
    </xf>
    <xf numFmtId="0" fontId="79" fillId="0" borderId="0" xfId="0" applyFont="1" applyAlignment="1">
      <alignment vertical="center"/>
    </xf>
    <xf numFmtId="0" fontId="73" fillId="0" borderId="0" xfId="0" applyFont="1" applyAlignment="1">
      <alignment horizontal="right" vertical="center"/>
    </xf>
    <xf numFmtId="0" fontId="84" fillId="0" borderId="0" xfId="0" applyFont="1" applyAlignment="1">
      <alignment vertical="center"/>
    </xf>
    <xf numFmtId="0" fontId="74" fillId="0" borderId="0" xfId="0" applyFont="1" applyAlignment="1">
      <alignment vertical="center"/>
    </xf>
    <xf numFmtId="0" fontId="73" fillId="0" borderId="0" xfId="0" applyFont="1" applyAlignment="1" applyProtection="1">
      <alignment horizontal="right" vertical="center"/>
      <protection locked="0"/>
    </xf>
    <xf numFmtId="0" fontId="85" fillId="0" borderId="0" xfId="0" applyFont="1"/>
    <xf numFmtId="0" fontId="80" fillId="0" borderId="0" xfId="0" applyFont="1" applyAlignment="1">
      <alignment vertical="center"/>
    </xf>
    <xf numFmtId="0" fontId="81" fillId="0" borderId="0" xfId="0" applyFont="1" applyAlignment="1" applyProtection="1">
      <alignment horizontal="right" vertical="center"/>
      <protection locked="0"/>
    </xf>
    <xf numFmtId="0" fontId="73" fillId="0" borderId="0" xfId="0" applyFont="1" applyAlignment="1">
      <alignment horizontal="center" vertical="center"/>
    </xf>
    <xf numFmtId="0" fontId="86" fillId="0" borderId="0" xfId="0" applyFont="1"/>
    <xf numFmtId="0" fontId="87" fillId="0" borderId="0" xfId="0" applyFont="1" applyAlignment="1" applyProtection="1">
      <alignment horizontal="right" vertical="center"/>
      <protection locked="0"/>
    </xf>
    <xf numFmtId="0" fontId="85" fillId="0" borderId="0" xfId="0" applyFont="1" applyAlignment="1" applyProtection="1">
      <alignment horizontal="right" vertical="center"/>
      <protection locked="0"/>
    </xf>
    <xf numFmtId="0" fontId="87" fillId="0" borderId="0" xfId="0" applyFont="1"/>
    <xf numFmtId="168" fontId="74" fillId="0" borderId="0" xfId="0" applyNumberFormat="1" applyFont="1" applyAlignment="1">
      <alignment vertical="center"/>
    </xf>
    <xf numFmtId="0" fontId="80" fillId="0" borderId="0" xfId="0" applyFont="1"/>
    <xf numFmtId="0" fontId="87" fillId="0" borderId="0" xfId="0" applyFont="1" applyAlignment="1">
      <alignment horizontal="right"/>
    </xf>
    <xf numFmtId="0" fontId="85" fillId="0" borderId="0" xfId="0" applyFont="1" applyAlignment="1">
      <alignment horizontal="right"/>
    </xf>
    <xf numFmtId="0" fontId="86" fillId="0" borderId="0" xfId="0" applyFont="1" applyAlignment="1">
      <alignment horizontal="right"/>
    </xf>
    <xf numFmtId="0" fontId="86" fillId="0" borderId="0" xfId="0" applyFont="1" applyAlignment="1" applyProtection="1">
      <alignment horizontal="right" vertical="center"/>
      <protection locked="0"/>
    </xf>
    <xf numFmtId="0" fontId="74" fillId="29" borderId="0" xfId="0" applyFont="1" applyFill="1" applyAlignment="1">
      <alignment vertical="center"/>
    </xf>
    <xf numFmtId="0" fontId="81" fillId="29" borderId="0" xfId="0" applyFont="1" applyFill="1" applyAlignment="1">
      <alignment horizontal="center" vertical="center"/>
    </xf>
    <xf numFmtId="0" fontId="81" fillId="29" borderId="0" xfId="0" applyFont="1" applyFill="1" applyAlignment="1" applyProtection="1">
      <alignment horizontal="center" vertical="center"/>
      <protection locked="0"/>
    </xf>
    <xf numFmtId="0" fontId="80" fillId="0" borderId="0" xfId="0" applyFont="1" applyAlignment="1" applyProtection="1">
      <alignment horizontal="right" vertical="center"/>
      <protection locked="0"/>
    </xf>
    <xf numFmtId="0" fontId="80" fillId="0" borderId="17" xfId="0" applyFont="1" applyBorder="1" applyAlignment="1">
      <alignment horizontal="center"/>
    </xf>
    <xf numFmtId="0" fontId="80" fillId="0" borderId="8" xfId="0" applyFont="1" applyBorder="1" applyAlignment="1">
      <alignment horizontal="center"/>
    </xf>
    <xf numFmtId="2" fontId="0" fillId="0" borderId="0" xfId="0" applyNumberFormat="1"/>
    <xf numFmtId="0" fontId="0" fillId="0" borderId="0" xfId="0" applyAlignment="1"/>
    <xf numFmtId="3" fontId="28" fillId="0" borderId="48" xfId="0" applyNumberFormat="1" applyFont="1" applyBorder="1" applyAlignment="1"/>
    <xf numFmtId="0" fontId="28" fillId="0" borderId="48" xfId="0" applyFont="1" applyBorder="1" applyAlignment="1"/>
    <xf numFmtId="169" fontId="32" fillId="6" borderId="29" xfId="0" applyNumberFormat="1" applyFont="1" applyFill="1" applyBorder="1" applyAlignment="1">
      <alignment vertical="center"/>
    </xf>
    <xf numFmtId="0" fontId="72" fillId="0" borderId="44" xfId="0" applyFont="1" applyBorder="1" applyAlignment="1">
      <alignment horizontal="right" vertical="center"/>
    </xf>
    <xf numFmtId="170" fontId="72" fillId="0" borderId="55" xfId="0" applyNumberFormat="1" applyFont="1" applyBorder="1" applyAlignment="1">
      <alignment horizontal="right" vertical="center"/>
    </xf>
    <xf numFmtId="0" fontId="72" fillId="0" borderId="55" xfId="0" applyFont="1" applyBorder="1" applyAlignment="1">
      <alignment horizontal="right" vertical="center"/>
    </xf>
    <xf numFmtId="0" fontId="72" fillId="0" borderId="56" xfId="0" applyFont="1" applyBorder="1" applyAlignment="1">
      <alignment horizontal="right" vertical="center"/>
    </xf>
    <xf numFmtId="0" fontId="72" fillId="3" borderId="2" xfId="0" applyFont="1" applyFill="1" applyBorder="1" applyAlignment="1">
      <alignment horizontal="right" vertical="center"/>
    </xf>
    <xf numFmtId="170" fontId="72" fillId="3" borderId="3" xfId="0" applyNumberFormat="1" applyFont="1" applyFill="1" applyBorder="1" applyAlignment="1">
      <alignment horizontal="right" vertical="center"/>
    </xf>
    <xf numFmtId="0" fontId="72" fillId="3" borderId="3" xfId="0" applyFont="1" applyFill="1" applyBorder="1" applyAlignment="1">
      <alignment horizontal="right" vertical="center"/>
    </xf>
    <xf numFmtId="0" fontId="72" fillId="3" borderId="39" xfId="0" applyFont="1" applyFill="1" applyBorder="1" applyAlignment="1">
      <alignment horizontal="right" vertical="center"/>
    </xf>
    <xf numFmtId="0" fontId="72" fillId="3" borderId="1" xfId="0" applyFont="1" applyFill="1" applyBorder="1" applyAlignment="1">
      <alignment horizontal="right" vertical="center"/>
    </xf>
    <xf numFmtId="170" fontId="72" fillId="3" borderId="0" xfId="0" applyNumberFormat="1" applyFont="1" applyFill="1" applyAlignment="1">
      <alignment horizontal="right" vertical="center"/>
    </xf>
    <xf numFmtId="0" fontId="72" fillId="3" borderId="0" xfId="0" applyFont="1" applyFill="1" applyAlignment="1">
      <alignment horizontal="right" vertical="center"/>
    </xf>
    <xf numFmtId="0" fontId="72" fillId="3" borderId="21" xfId="0" applyFont="1" applyFill="1" applyBorder="1" applyAlignment="1">
      <alignment horizontal="right" vertical="center"/>
    </xf>
    <xf numFmtId="0" fontId="73" fillId="0" borderId="48" xfId="0" applyFont="1" applyBorder="1" applyAlignment="1">
      <alignment horizontal="center" vertical="center"/>
    </xf>
    <xf numFmtId="0" fontId="74" fillId="0" borderId="48" xfId="0" applyFont="1" applyBorder="1" applyAlignment="1">
      <alignment horizontal="right" vertical="center"/>
    </xf>
    <xf numFmtId="170" fontId="73" fillId="0" borderId="48" xfId="0" applyNumberFormat="1" applyFont="1" applyBorder="1" applyAlignment="1">
      <alignment horizontal="center" vertical="center"/>
    </xf>
    <xf numFmtId="170" fontId="73" fillId="0" borderId="42" xfId="0" applyNumberFormat="1" applyFont="1" applyBorder="1" applyAlignment="1">
      <alignment horizontal="center" vertical="center"/>
    </xf>
    <xf numFmtId="0" fontId="79" fillId="0" borderId="43" xfId="0" applyFont="1" applyBorder="1" applyAlignment="1">
      <alignment horizontal="center" vertical="center"/>
    </xf>
    <xf numFmtId="170" fontId="79" fillId="0" borderId="40" xfId="0" applyNumberFormat="1" applyFont="1" applyBorder="1" applyAlignment="1">
      <alignment horizontal="center" vertical="center"/>
    </xf>
    <xf numFmtId="0" fontId="79" fillId="0" borderId="40" xfId="0" applyFont="1" applyBorder="1" applyAlignment="1">
      <alignment horizontal="center" vertical="center"/>
    </xf>
    <xf numFmtId="0" fontId="79" fillId="0" borderId="52" xfId="0" applyFont="1" applyBorder="1" applyAlignment="1">
      <alignment horizontal="center" vertical="center"/>
    </xf>
    <xf numFmtId="0" fontId="79" fillId="0" borderId="2" xfId="0" applyFont="1" applyBorder="1" applyAlignment="1">
      <alignment horizontal="right" vertical="center"/>
    </xf>
    <xf numFmtId="170" fontId="79" fillId="0" borderId="3" xfId="0" applyNumberFormat="1" applyFont="1" applyBorder="1" applyAlignment="1">
      <alignment horizontal="right" vertical="center"/>
    </xf>
    <xf numFmtId="0" fontId="79" fillId="0" borderId="3" xfId="0" applyFont="1" applyBorder="1" applyAlignment="1">
      <alignment horizontal="right" vertical="center"/>
    </xf>
    <xf numFmtId="0" fontId="79" fillId="0" borderId="37" xfId="0" applyFont="1" applyBorder="1" applyAlignment="1">
      <alignment horizontal="right" vertical="center"/>
    </xf>
    <xf numFmtId="0" fontId="79" fillId="0" borderId="49" xfId="0" applyFont="1" applyBorder="1" applyAlignment="1">
      <alignment horizontal="right" vertical="center"/>
    </xf>
    <xf numFmtId="170" fontId="79" fillId="0" borderId="19" xfId="0" applyNumberFormat="1" applyFont="1" applyBorder="1" applyAlignment="1">
      <alignment horizontal="right" vertical="center"/>
    </xf>
    <xf numFmtId="0" fontId="79" fillId="0" borderId="19" xfId="0" applyFont="1" applyBorder="1" applyAlignment="1">
      <alignment horizontal="right" vertical="center"/>
    </xf>
    <xf numFmtId="0" fontId="79" fillId="0" borderId="41" xfId="0" applyFont="1" applyBorder="1" applyAlignment="1">
      <alignment horizontal="right" vertical="center"/>
    </xf>
    <xf numFmtId="0" fontId="79" fillId="0" borderId="47" xfId="0" applyFont="1" applyBorder="1" applyAlignment="1">
      <alignment horizontal="right" vertical="center"/>
    </xf>
    <xf numFmtId="0" fontId="79" fillId="0" borderId="53" xfId="0" applyFont="1" applyBorder="1" applyAlignment="1">
      <alignment horizontal="right" vertical="center"/>
    </xf>
    <xf numFmtId="0" fontId="77" fillId="2" borderId="0" xfId="0" applyFont="1" applyFill="1" applyAlignment="1">
      <alignment horizontal="center" vertical="center"/>
    </xf>
    <xf numFmtId="0" fontId="78" fillId="2" borderId="0" xfId="0" applyFont="1" applyFill="1" applyAlignment="1">
      <alignment horizontal="right" vertical="center"/>
    </xf>
    <xf numFmtId="0" fontId="78" fillId="2" borderId="21" xfId="0" applyFont="1" applyFill="1" applyBorder="1" applyAlignment="1">
      <alignment horizontal="right" vertical="center"/>
    </xf>
    <xf numFmtId="170" fontId="75" fillId="2" borderId="22" xfId="0" applyNumberFormat="1" applyFont="1" applyFill="1" applyBorder="1" applyAlignment="1">
      <alignment horizontal="center" vertical="center"/>
    </xf>
    <xf numFmtId="170" fontId="76" fillId="2" borderId="23" xfId="0" applyNumberFormat="1" applyFont="1" applyFill="1" applyBorder="1" applyAlignment="1">
      <alignment horizontal="center" vertical="center"/>
    </xf>
    <xf numFmtId="0" fontId="77" fillId="2" borderId="23" xfId="0" applyFont="1" applyFill="1" applyBorder="1" applyAlignment="1">
      <alignment horizontal="center" vertical="center"/>
    </xf>
    <xf numFmtId="0" fontId="75" fillId="2" borderId="1" xfId="0" applyFont="1" applyFill="1" applyBorder="1" applyAlignment="1">
      <alignment horizontal="center" vertical="center" wrapText="1"/>
    </xf>
    <xf numFmtId="170" fontId="75" fillId="2" borderId="0" xfId="0" applyNumberFormat="1" applyFont="1" applyFill="1" applyAlignment="1">
      <alignment horizontal="center" vertical="center" wrapText="1"/>
    </xf>
    <xf numFmtId="0" fontId="75" fillId="2" borderId="0" xfId="0" applyFont="1" applyFill="1" applyAlignment="1">
      <alignment horizontal="center" vertical="center" wrapText="1"/>
    </xf>
    <xf numFmtId="0" fontId="11" fillId="5" borderId="30" xfId="0" applyFont="1" applyFill="1" applyBorder="1" applyAlignment="1">
      <alignment vertical="center"/>
    </xf>
    <xf numFmtId="0" fontId="33" fillId="5" borderId="24" xfId="0" applyFont="1" applyFill="1" applyBorder="1" applyAlignment="1">
      <alignment horizontal="center" vertical="center"/>
    </xf>
    <xf numFmtId="0" fontId="20" fillId="0" borderId="0" xfId="0" applyFont="1" applyAlignment="1">
      <alignment horizontal="right" vertical="center"/>
    </xf>
    <xf numFmtId="0" fontId="29" fillId="7" borderId="14" xfId="0" applyFont="1" applyFill="1" applyBorder="1" applyAlignment="1">
      <alignment horizontal="center" vertical="center"/>
    </xf>
    <xf numFmtId="0" fontId="29" fillId="7" borderId="12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 indent="2"/>
    </xf>
    <xf numFmtId="0" fontId="34" fillId="2" borderId="0" xfId="0" applyFont="1" applyFill="1" applyAlignment="1">
      <alignment horizontal="right" vertical="center"/>
    </xf>
    <xf numFmtId="0" fontId="31" fillId="5" borderId="4" xfId="0" applyFont="1" applyFill="1" applyBorder="1" applyAlignment="1">
      <alignment horizontal="center" vertical="center"/>
    </xf>
    <xf numFmtId="0" fontId="31" fillId="5" borderId="5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31" fillId="5" borderId="23" xfId="0" applyFont="1" applyFill="1" applyBorder="1" applyAlignment="1">
      <alignment horizontal="center" vertical="center"/>
    </xf>
    <xf numFmtId="0" fontId="31" fillId="5" borderId="24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left" vertical="center" indent="6"/>
    </xf>
    <xf numFmtId="0" fontId="11" fillId="5" borderId="31" xfId="0" applyFont="1" applyFill="1" applyBorder="1" applyAlignment="1">
      <alignment vertical="center"/>
    </xf>
    <xf numFmtId="0" fontId="21" fillId="2" borderId="0" xfId="0" applyFont="1" applyFill="1" applyAlignment="1">
      <alignment horizontal="left" vertical="center" indent="14"/>
    </xf>
    <xf numFmtId="0" fontId="11" fillId="5" borderId="48" xfId="0" applyFont="1" applyFill="1" applyBorder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54" fillId="5" borderId="61" xfId="0" applyFont="1" applyFill="1" applyBorder="1" applyAlignment="1">
      <alignment horizontal="right" vertical="center"/>
    </xf>
    <xf numFmtId="0" fontId="31" fillId="5" borderId="48" xfId="0" applyFont="1" applyFill="1" applyBorder="1" applyAlignment="1">
      <alignment horizontal="center" vertical="center"/>
    </xf>
    <xf numFmtId="0" fontId="54" fillId="0" borderId="61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7" fillId="2" borderId="0" xfId="0" applyFont="1" applyFill="1" applyAlignment="1">
      <alignment horizontal="left" vertical="center" indent="8"/>
    </xf>
    <xf numFmtId="0" fontId="8" fillId="0" borderId="0" xfId="0" applyFont="1" applyAlignment="1">
      <alignment horizontal="right" vertical="center"/>
    </xf>
    <xf numFmtId="0" fontId="38" fillId="5" borderId="4" xfId="0" applyFont="1" applyFill="1" applyBorder="1" applyAlignment="1">
      <alignment horizontal="center" vertical="center"/>
    </xf>
    <xf numFmtId="0" fontId="38" fillId="5" borderId="5" xfId="0" applyFont="1" applyFill="1" applyBorder="1" applyAlignment="1">
      <alignment horizontal="center" vertical="center"/>
    </xf>
    <xf numFmtId="0" fontId="27" fillId="5" borderId="4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right" vertical="center"/>
    </xf>
    <xf numFmtId="1" fontId="82" fillId="0" borderId="0" xfId="0" applyNumberFormat="1" applyFont="1" applyAlignment="1">
      <alignment horizontal="center" vertical="center"/>
    </xf>
    <xf numFmtId="168" fontId="74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81" fillId="0" borderId="0" xfId="0" applyFont="1" applyAlignment="1">
      <alignment horizontal="left" vertical="center"/>
    </xf>
    <xf numFmtId="0" fontId="82" fillId="0" borderId="0" xfId="0" applyFont="1" applyAlignment="1">
      <alignment horizontal="center" vertical="center"/>
    </xf>
    <xf numFmtId="0" fontId="84" fillId="29" borderId="0" xfId="0" applyFont="1" applyFill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79" fillId="0" borderId="0" xfId="0" applyFont="1" applyAlignment="1">
      <alignment vertical="center"/>
    </xf>
    <xf numFmtId="0" fontId="73" fillId="0" borderId="0" xfId="0" applyFont="1" applyAlignment="1">
      <alignment horizontal="left" vertical="center"/>
    </xf>
    <xf numFmtId="0" fontId="85" fillId="0" borderId="0" xfId="0" applyFont="1" applyAlignment="1">
      <alignment horizontal="justify" vertical="center"/>
    </xf>
    <xf numFmtId="0" fontId="60" fillId="0" borderId="48" xfId="0" applyFont="1" applyBorder="1" applyAlignment="1">
      <alignment horizontal="right"/>
    </xf>
    <xf numFmtId="0" fontId="60" fillId="0" borderId="10" xfId="0" applyFont="1" applyBorder="1" applyAlignment="1">
      <alignment horizontal="right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60" fillId="0" borderId="17" xfId="0" applyFont="1" applyBorder="1" applyAlignment="1">
      <alignment horizontal="right"/>
    </xf>
    <xf numFmtId="0" fontId="60" fillId="0" borderId="18" xfId="0" applyFont="1" applyBorder="1" applyAlignment="1">
      <alignment horizontal="right"/>
    </xf>
    <xf numFmtId="0" fontId="60" fillId="0" borderId="0" xfId="0" applyFont="1" applyAlignment="1">
      <alignment horizontal="center"/>
    </xf>
    <xf numFmtId="3" fontId="60" fillId="0" borderId="34" xfId="0" applyNumberFormat="1" applyFont="1" applyBorder="1" applyAlignment="1">
      <alignment horizontal="center"/>
    </xf>
    <xf numFmtId="3" fontId="60" fillId="0" borderId="4" xfId="0" applyNumberFormat="1" applyFont="1" applyBorder="1" applyAlignment="1">
      <alignment horizontal="center"/>
    </xf>
    <xf numFmtId="3" fontId="60" fillId="0" borderId="5" xfId="0" applyNumberFormat="1" applyFont="1" applyBorder="1" applyAlignment="1">
      <alignment horizontal="center"/>
    </xf>
    <xf numFmtId="0" fontId="36" fillId="33" borderId="0" xfId="0" applyFont="1" applyFill="1" applyAlignment="1">
      <alignment horizontal="center" vertical="center"/>
    </xf>
    <xf numFmtId="0" fontId="0" fillId="10" borderId="3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7" borderId="34" xfId="0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0" fontId="0" fillId="20" borderId="34" xfId="0" applyFill="1" applyBorder="1" applyAlignment="1">
      <alignment horizontal="center"/>
    </xf>
    <xf numFmtId="0" fontId="0" fillId="20" borderId="5" xfId="0" applyFill="1" applyBorder="1" applyAlignment="1">
      <alignment horizontal="center"/>
    </xf>
    <xf numFmtId="0" fontId="69" fillId="34" borderId="0" xfId="0" applyFont="1" applyFill="1" applyAlignment="1">
      <alignment horizontal="center" vertical="center"/>
    </xf>
    <xf numFmtId="0" fontId="0" fillId="21" borderId="34" xfId="0" applyFill="1" applyBorder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5" borderId="34" xfId="0" applyFill="1" applyBorder="1" applyAlignment="1">
      <alignment horizontal="center"/>
    </xf>
    <xf numFmtId="0" fontId="0" fillId="25" borderId="5" xfId="0" applyFill="1" applyBorder="1" applyAlignment="1">
      <alignment horizontal="center"/>
    </xf>
    <xf numFmtId="0" fontId="0" fillId="35" borderId="34" xfId="0" applyFill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13" fillId="0" borderId="0" xfId="0" applyFont="1" applyAlignment="1">
      <alignment horizontal="center" vertical="center"/>
    </xf>
  </cellXfs>
  <cellStyles count="2">
    <cellStyle name="EXCLUSIV" xfId="1" xr:uid="{00000000-0005-0000-0000-000000000000}"/>
    <cellStyle name="Normal" xfId="0" builtinId="0"/>
  </cellStyles>
  <dxfs count="15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indexed="64"/>
          <bgColor rgb="FFFFC000"/>
        </patternFill>
      </fill>
      <alignment horizontal="right" vertical="center" textRotation="0" wrapText="1" indent="0" justifyLastLine="0" shrinkToFit="0" readingOrder="2"/>
      <border diagonalUp="0" diagonalDown="0" outline="0">
        <left/>
        <right/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</font>
      <numFmt numFmtId="166" formatCode="#,##0_-_ر_ي_ا_ل"/>
      <alignment horizontal="right" textRotation="0" indent="0" justifyLastLine="0" shrinkToFit="0"/>
    </dxf>
    <dxf>
      <numFmt numFmtId="166" formatCode="#,##0_-_ر_ي_ا_ل"/>
      <alignment horizontal="right" textRotation="0" inden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2"/>
      <border diagonalUp="0" diagonalDown="0">
        <left/>
        <right style="medium">
          <color rgb="FFCCCCCC"/>
        </right>
        <top style="medium">
          <color rgb="FFCCCCCC"/>
        </top>
        <bottom/>
        <vertical/>
        <horizontal/>
      </border>
    </dxf>
    <dxf>
      <border outline="0">
        <top style="medium">
          <color rgb="FFCCCCCC"/>
        </top>
      </border>
    </dxf>
    <dxf>
      <border outline="0">
        <right style="medium">
          <color rgb="FFCCCCCC"/>
        </right>
      </border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indexed="64"/>
          <bgColor rgb="FFFFC000"/>
        </patternFill>
      </fill>
      <alignment horizontal="right" vertical="center" textRotation="0" wrapText="1" indent="0" justifyLastLine="0" shrinkToFit="0" readingOrder="2"/>
      <border diagonalUp="0" diagonalDown="0" outline="0">
        <left/>
        <right/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</font>
      <numFmt numFmtId="166" formatCode="#,##0_-_ر_ي_ا_ل"/>
      <alignment horizontal="right" textRotation="0" indent="0" justifyLastLine="0" shrinkToFit="0"/>
    </dxf>
    <dxf>
      <numFmt numFmtId="166" formatCode="#,##0_-_ر_ي_ا_ل"/>
      <alignment horizontal="right" textRotation="0" inden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2"/>
      <border diagonalUp="0" diagonalDown="0">
        <left/>
        <right style="medium">
          <color rgb="FFCCCCCC"/>
        </right>
        <top style="medium">
          <color rgb="FFCCCCCC"/>
        </top>
        <bottom/>
        <vertical/>
        <horizontal/>
      </border>
    </dxf>
    <dxf>
      <border outline="0">
        <top style="medium">
          <color rgb="FFCCCCCC"/>
        </top>
      </border>
    </dxf>
    <dxf>
      <border outline="0">
        <right style="medium">
          <color rgb="FFCCCCCC"/>
        </right>
      </border>
    </dxf>
    <dxf>
      <border outline="0">
        <bottom style="thick">
          <color rgb="FFFFFFFF"/>
        </bottom>
      </border>
    </dxf>
    <dxf>
      <numFmt numFmtId="3" formatCode="#,##0"/>
    </dxf>
  </dxfs>
  <tableStyles count="0" defaultTableStyle="TableStyleMedium2" defaultPivotStyle="PivotStyleLight16"/>
  <colors>
    <mruColors>
      <color rgb="FFFFCDCD"/>
      <color rgb="FFFFE7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9" Type="http://schemas.openxmlformats.org/officeDocument/2006/relationships/customXml" Target="../customXml/item11.xml"/><Relationship Id="rId21" Type="http://schemas.openxmlformats.org/officeDocument/2006/relationships/pivotCacheDefinition" Target="pivotCache/pivotCacheDefinition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20" Type="http://schemas.openxmlformats.org/officeDocument/2006/relationships/externalLink" Target="externalLinks/externalLink2.xml"/><Relationship Id="rId41" Type="http://schemas.openxmlformats.org/officeDocument/2006/relationships/customXml" Target="../customXml/item1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4.jpeg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2.jpeg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4.jpe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6</xdr:row>
          <xdr:rowOff>38100</xdr:rowOff>
        </xdr:from>
        <xdr:to>
          <xdr:col>7</xdr:col>
          <xdr:colOff>209550</xdr:colOff>
          <xdr:row>50</xdr:row>
          <xdr:rowOff>0</xdr:rowOff>
        </xdr:to>
        <xdr:sp macro="" textlink="">
          <xdr:nvSpPr>
            <xdr:cNvPr id="41985" name="ListBoxSh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9</xdr:row>
          <xdr:rowOff>142875</xdr:rowOff>
        </xdr:from>
        <xdr:to>
          <xdr:col>10</xdr:col>
          <xdr:colOff>600075</xdr:colOff>
          <xdr:row>13</xdr:row>
          <xdr:rowOff>57150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6</xdr:row>
          <xdr:rowOff>9525</xdr:rowOff>
        </xdr:from>
        <xdr:to>
          <xdr:col>15</xdr:col>
          <xdr:colOff>428625</xdr:colOff>
          <xdr:row>9</xdr:row>
          <xdr:rowOff>161925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حذف اطلاعات صفحه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133350</xdr:rowOff>
        </xdr:from>
        <xdr:to>
          <xdr:col>15</xdr:col>
          <xdr:colOff>428625</xdr:colOff>
          <xdr:row>5</xdr:row>
          <xdr:rowOff>95250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محاسبات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2</xdr:row>
          <xdr:rowOff>0</xdr:rowOff>
        </xdr:from>
        <xdr:to>
          <xdr:col>16</xdr:col>
          <xdr:colOff>161925</xdr:colOff>
          <xdr:row>4</xdr:row>
          <xdr:rowOff>228600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انتقال اطلاعات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5</xdr:row>
          <xdr:rowOff>152400</xdr:rowOff>
        </xdr:from>
        <xdr:to>
          <xdr:col>16</xdr:col>
          <xdr:colOff>161925</xdr:colOff>
          <xdr:row>8</xdr:row>
          <xdr:rowOff>123825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حذف اطلاعات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219075</xdr:colOff>
          <xdr:row>1</xdr:row>
          <xdr:rowOff>409575</xdr:rowOff>
        </xdr:from>
        <xdr:to>
          <xdr:col>17</xdr:col>
          <xdr:colOff>819150</xdr:colOff>
          <xdr:row>4</xdr:row>
          <xdr:rowOff>219075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اعمال فیلتر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219075</xdr:colOff>
          <xdr:row>5</xdr:row>
          <xdr:rowOff>152400</xdr:rowOff>
        </xdr:from>
        <xdr:to>
          <xdr:col>17</xdr:col>
          <xdr:colOff>819150</xdr:colOff>
          <xdr:row>8</xdr:row>
          <xdr:rowOff>123825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4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حذف فیلتر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5</xdr:row>
          <xdr:rowOff>9525</xdr:rowOff>
        </xdr:from>
        <xdr:to>
          <xdr:col>15</xdr:col>
          <xdr:colOff>28575</xdr:colOff>
          <xdr:row>7</xdr:row>
          <xdr:rowOff>133350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05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انتقال اطلاعات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8</xdr:row>
          <xdr:rowOff>76200</xdr:rowOff>
        </xdr:from>
        <xdr:to>
          <xdr:col>15</xdr:col>
          <xdr:colOff>38100</xdr:colOff>
          <xdr:row>10</xdr:row>
          <xdr:rowOff>238125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05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حذف اطلاعات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542925</xdr:colOff>
          <xdr:row>7</xdr:row>
          <xdr:rowOff>104775</xdr:rowOff>
        </xdr:from>
        <xdr:to>
          <xdr:col>10</xdr:col>
          <xdr:colOff>438150</xdr:colOff>
          <xdr:row>10</xdr:row>
          <xdr:rowOff>28575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6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حذف اطلاعات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76200</xdr:rowOff>
        </xdr:from>
        <xdr:to>
          <xdr:col>10</xdr:col>
          <xdr:colOff>428625</xdr:colOff>
          <xdr:row>6</xdr:row>
          <xdr:rowOff>152400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6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انتقال اطلاعات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5</xdr:row>
          <xdr:rowOff>171450</xdr:rowOff>
        </xdr:from>
        <xdr:to>
          <xdr:col>11</xdr:col>
          <xdr:colOff>123825</xdr:colOff>
          <xdr:row>8</xdr:row>
          <xdr:rowOff>190500</xdr:rowOff>
        </xdr:to>
        <xdr:sp macro="" textlink="">
          <xdr:nvSpPr>
            <xdr:cNvPr id="83971" name="Button 3" hidden="1">
              <a:extLst>
                <a:ext uri="{63B3BB69-23CF-44E3-9099-C40C66FF867C}">
                  <a14:compatExt spid="_x0000_s83971"/>
                </a:ext>
                <a:ext uri="{FF2B5EF4-FFF2-40B4-BE49-F238E27FC236}">
                  <a16:creationId xmlns:a16="http://schemas.microsoft.com/office/drawing/2014/main" id="{00000000-0008-0000-0700-00000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انتقال اطلاعات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4</xdr:row>
          <xdr:rowOff>9525</xdr:rowOff>
        </xdr:from>
        <xdr:to>
          <xdr:col>11</xdr:col>
          <xdr:colOff>276225</xdr:colOff>
          <xdr:row>6</xdr:row>
          <xdr:rowOff>152400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8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انتقال اطلاعات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5</xdr:row>
          <xdr:rowOff>123825</xdr:rowOff>
        </xdr:from>
        <xdr:to>
          <xdr:col>11</xdr:col>
          <xdr:colOff>257175</xdr:colOff>
          <xdr:row>8</xdr:row>
          <xdr:rowOff>38100</xdr:rowOff>
        </xdr:to>
        <xdr:sp macro="" textlink="">
          <xdr:nvSpPr>
            <xdr:cNvPr id="78853" name="Button 5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09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انتقال اطلاعات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5</xdr:row>
          <xdr:rowOff>133350</xdr:rowOff>
        </xdr:from>
        <xdr:to>
          <xdr:col>12</xdr:col>
          <xdr:colOff>495300</xdr:colOff>
          <xdr:row>8</xdr:row>
          <xdr:rowOff>28575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A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انتقال اطلاعات مترمربع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8</xdr:row>
          <xdr:rowOff>114300</xdr:rowOff>
        </xdr:from>
        <xdr:to>
          <xdr:col>12</xdr:col>
          <xdr:colOff>495300</xdr:colOff>
          <xdr:row>10</xdr:row>
          <xdr:rowOff>190500</xdr:rowOff>
        </xdr:to>
        <xdr:sp macro="" textlink="">
          <xdr:nvSpPr>
            <xdr:cNvPr id="90115" name="Button 3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A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انتقال اطلاعات مترطول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12</xdr:row>
          <xdr:rowOff>76200</xdr:rowOff>
        </xdr:from>
        <xdr:to>
          <xdr:col>12</xdr:col>
          <xdr:colOff>523875</xdr:colOff>
          <xdr:row>14</xdr:row>
          <xdr:rowOff>76200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A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حذف اطلاعات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4</xdr:row>
          <xdr:rowOff>38100</xdr:rowOff>
        </xdr:from>
        <xdr:to>
          <xdr:col>14</xdr:col>
          <xdr:colOff>238125</xdr:colOff>
          <xdr:row>6</xdr:row>
          <xdr:rowOff>161925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B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انتقال اطلاعات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kup\flat%20bed\amiri\data%20base\ok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ave\Pro\14010811\Project_End%20%20final%20ok_14010811_Ori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t"/>
      <sheetName val="Data"/>
      <sheetName val="All"/>
      <sheetName val="P1"/>
      <sheetName val="Datasheet"/>
      <sheetName val="متریال کل"/>
      <sheetName val="برآورد برشکاری"/>
      <sheetName val="نوار-شیار -فارسی"/>
      <sheetName val="برآورد سی ان سی "/>
      <sheetName val="یراق آلات "/>
      <sheetName val="آنالیز رنگ"/>
      <sheetName val="رنگ کاری "/>
      <sheetName val="ابزار و منبت"/>
      <sheetName val="روکش مالی"/>
      <sheetName val="پیش فاکتور کمد ها "/>
      <sheetName val="پیش فاکتور  کابینت"/>
      <sheetName val="ok"/>
    </sheetNames>
    <sheetDataSet>
      <sheetData sheetId="0"/>
      <sheetData sheetId="1">
        <row r="1">
          <cell r="G1" t="str">
            <v xml:space="preserve">نوار - شیار - فارسی </v>
          </cell>
        </row>
        <row r="2">
          <cell r="G2" t="str">
            <v>نوار سفید -ام دی اف سفید</v>
          </cell>
        </row>
        <row r="3">
          <cell r="G3" t="str">
            <v xml:space="preserve">نوار روکش چوب </v>
          </cell>
        </row>
        <row r="4">
          <cell r="G4" t="str">
            <v xml:space="preserve">نوار سفید -پی وی سی </v>
          </cell>
        </row>
        <row r="5">
          <cell r="G5" t="str">
            <v xml:space="preserve">فارسی کاری -ام دی اف سفید </v>
          </cell>
        </row>
        <row r="6">
          <cell r="G6" t="str">
            <v xml:space="preserve"> فارسی کاری -ام دی اف خام</v>
          </cell>
        </row>
        <row r="7">
          <cell r="G7" t="str">
            <v xml:space="preserve"> فارسی کاری -ام دی اف روکشی</v>
          </cell>
        </row>
        <row r="8">
          <cell r="G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116.879494328707" createdVersion="3" refreshedVersion="8" minRefreshableVersion="3" recordCount="30" xr:uid="{F1CBD507-E876-48B4-B083-AE767425BB21}">
  <cacheSource type="worksheet">
    <worksheetSource ref="C1:F31" sheet="FittingsData"/>
  </cacheSource>
  <cacheFields count="4">
    <cacheField name="Fittings" numFmtId="0">
      <sharedItems count="11">
        <s v="لولا گازور -آرام بند "/>
        <s v="دستکیره کابینت"/>
        <s v="جک 120"/>
        <s v="آبچکان "/>
        <s v="ریل ساچمه ای 50"/>
        <s v="ریل ساچمه ای 45"/>
        <s v="ریل ساچمه ای 40"/>
        <s v="ریل ساچمه ای 35"/>
        <s v="ریل ساچمه ای 30"/>
        <s v="ریل ساچمه ای 25"/>
        <s v="پایه 14 سانتی "/>
      </sharedItems>
    </cacheField>
    <cacheField name="QtyFittings" numFmtId="0">
      <sharedItems containsSemiMixedTypes="0" containsString="0" containsNumber="1" containsInteger="1" minValue="1" maxValue="8"/>
    </cacheField>
    <cacheField name="QtyProj" numFmtId="0">
      <sharedItems containsString="0" containsBlank="1" containsNumber="1" containsInteger="1" minValue="1" maxValue="12"/>
    </cacheField>
    <cacheField name="Qty" numFmtId="0">
      <sharedItems containsSemiMixedTypes="0" containsString="0" containsNumber="1" containsInteger="1" minValue="0" maxValue="24" count="8">
        <n v="24"/>
        <n v="12"/>
        <n v="0"/>
        <n v="4"/>
        <n v="2"/>
        <n v="1"/>
        <n v="3"/>
        <n v="2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n v="2"/>
    <n v="12"/>
    <x v="0"/>
  </r>
  <r>
    <x v="1"/>
    <n v="1"/>
    <n v="12"/>
    <x v="1"/>
  </r>
  <r>
    <x v="0"/>
    <n v="3"/>
    <m/>
    <x v="2"/>
  </r>
  <r>
    <x v="1"/>
    <n v="1"/>
    <m/>
    <x v="2"/>
  </r>
  <r>
    <x v="0"/>
    <n v="2"/>
    <n v="2"/>
    <x v="3"/>
  </r>
  <r>
    <x v="2"/>
    <n v="2"/>
    <n v="2"/>
    <x v="3"/>
  </r>
  <r>
    <x v="1"/>
    <n v="1"/>
    <n v="2"/>
    <x v="4"/>
  </r>
  <r>
    <x v="0"/>
    <n v="2"/>
    <n v="1"/>
    <x v="4"/>
  </r>
  <r>
    <x v="2"/>
    <n v="2"/>
    <n v="1"/>
    <x v="4"/>
  </r>
  <r>
    <x v="1"/>
    <n v="1"/>
    <n v="1"/>
    <x v="5"/>
  </r>
  <r>
    <x v="3"/>
    <n v="1"/>
    <n v="1"/>
    <x v="5"/>
  </r>
  <r>
    <x v="0"/>
    <n v="2"/>
    <m/>
    <x v="2"/>
  </r>
  <r>
    <x v="1"/>
    <n v="1"/>
    <m/>
    <x v="2"/>
  </r>
  <r>
    <x v="3"/>
    <n v="1"/>
    <m/>
    <x v="2"/>
  </r>
  <r>
    <x v="4"/>
    <n v="1"/>
    <n v="3"/>
    <x v="6"/>
  </r>
  <r>
    <x v="1"/>
    <n v="1"/>
    <n v="3"/>
    <x v="6"/>
  </r>
  <r>
    <x v="5"/>
    <n v="1"/>
    <m/>
    <x v="2"/>
  </r>
  <r>
    <x v="1"/>
    <n v="1"/>
    <m/>
    <x v="2"/>
  </r>
  <r>
    <x v="6"/>
    <n v="1"/>
    <m/>
    <x v="2"/>
  </r>
  <r>
    <x v="1"/>
    <n v="1"/>
    <m/>
    <x v="2"/>
  </r>
  <r>
    <x v="7"/>
    <n v="1"/>
    <m/>
    <x v="2"/>
  </r>
  <r>
    <x v="1"/>
    <n v="1"/>
    <m/>
    <x v="2"/>
  </r>
  <r>
    <x v="8"/>
    <n v="1"/>
    <m/>
    <x v="2"/>
  </r>
  <r>
    <x v="1"/>
    <n v="1"/>
    <m/>
    <x v="2"/>
  </r>
  <r>
    <x v="9"/>
    <n v="1"/>
    <m/>
    <x v="2"/>
  </r>
  <r>
    <x v="1"/>
    <n v="1"/>
    <m/>
    <x v="2"/>
  </r>
  <r>
    <x v="10"/>
    <n v="4"/>
    <n v="5"/>
    <x v="7"/>
  </r>
  <r>
    <x v="10"/>
    <n v="2"/>
    <m/>
    <x v="2"/>
  </r>
  <r>
    <x v="10"/>
    <n v="6"/>
    <m/>
    <x v="2"/>
  </r>
  <r>
    <x v="10"/>
    <n v="8"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C3F08E-C340-48F4-AC02-B39B8636D3F4}" name="FittingsTable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rowHeaderCaption="Type">
  <location ref="M4:N11" firstHeaderRow="1" firstDataRow="1" firstDataCol="1" rowPageCount="1" colPageCount="1"/>
  <pivotFields count="4">
    <pivotField axis="axisRow" showAll="0">
      <items count="12">
        <item x="3"/>
        <item x="10"/>
        <item x="2"/>
        <item x="1"/>
        <item x="9"/>
        <item x="8"/>
        <item x="7"/>
        <item x="6"/>
        <item x="5"/>
        <item x="4"/>
        <item x="0"/>
        <item t="default"/>
      </items>
    </pivotField>
    <pivotField showAll="0"/>
    <pivotField showAll="0"/>
    <pivotField axis="axisPage" dataField="1" multipleItemSelectionAllowed="1" showAll="0">
      <items count="9">
        <item h="1" x="2"/>
        <item x="5"/>
        <item x="4"/>
        <item x="6"/>
        <item x="3"/>
        <item x="1"/>
        <item x="7"/>
        <item x="0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9"/>
    </i>
    <i>
      <x v="10"/>
    </i>
    <i t="grand">
      <x/>
    </i>
  </rowItems>
  <colItems count="1">
    <i/>
  </colItems>
  <pageFields count="1">
    <pageField fld="3" hier="-1"/>
  </pageFields>
  <dataFields count="1">
    <dataField name="Sum of Qty" fld="3" baseField="0" baseItem="0" numFmtId="3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3" displayName="Table13" ref="H3:L14" totalsRowShown="0" headerRowBorderDxfId="13" tableBorderDxfId="12" totalsRowBorderDxfId="11">
  <autoFilter ref="H3:L14" xr:uid="{00000000-0009-0000-0100-000002000000}"/>
  <tableColumns count="5">
    <tableColumn id="1" xr3:uid="{00000000-0010-0000-0000-000001000000}" name="ردیف" dataDxfId="10"/>
    <tableColumn id="2" xr3:uid="{00000000-0010-0000-0000-000002000000}" name="تاریخ"/>
    <tableColumn id="6" xr3:uid="{00000000-0010-0000-0000-000006000000}" name="بدهکار" dataDxfId="9"/>
    <tableColumn id="3" xr3:uid="{00000000-0010-0000-0000-000003000000}" name="بستانکار " dataDxfId="8"/>
    <tableColumn id="4" xr3:uid="{00000000-0010-0000-0000-000004000000}" name="شرح" dataDxfId="7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134" displayName="Table134" ref="B3:F14" totalsRowShown="0" headerRowBorderDxfId="6" tableBorderDxfId="5" totalsRowBorderDxfId="4">
  <autoFilter ref="B3:F14" xr:uid="{00000000-0009-0000-0100-000003000000}"/>
  <tableColumns count="5">
    <tableColumn id="1" xr3:uid="{00000000-0010-0000-0100-000001000000}" name="ردیف" dataDxfId="3"/>
    <tableColumn id="2" xr3:uid="{00000000-0010-0000-0100-000002000000}" name="تاریخ"/>
    <tableColumn id="6" xr3:uid="{00000000-0010-0000-0100-000006000000}" name="بدهکار" dataDxfId="2"/>
    <tableColumn id="3" xr3:uid="{00000000-0010-0000-0100-000003000000}" name="بستانکار " dataDxfId="1"/>
    <tableColumn id="4" xr3:uid="{00000000-0010-0000-0100-000004000000}" name="شرح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8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10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12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4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6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18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">
    <tabColor rgb="FF7030A0"/>
  </sheetPr>
  <dimension ref="A19"/>
  <sheetViews>
    <sheetView showGridLines="0" topLeftCell="A7" zoomScaleNormal="100" workbookViewId="0">
      <selection activeCell="M20" sqref="M20"/>
    </sheetView>
  </sheetViews>
  <sheetFormatPr defaultColWidth="9.140625" defaultRowHeight="12.75"/>
  <cols>
    <col min="1" max="16384" width="9.140625" style="60"/>
  </cols>
  <sheetData>
    <row r="19" ht="23.25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ListBoxSh">
          <controlPr defaultSize="0" autoFill="0" autoLine="0" r:id="rId5">
            <anchor moveWithCells="1">
              <from>
                <xdr:col>1</xdr:col>
                <xdr:colOff>581025</xdr:colOff>
                <xdr:row>6</xdr:row>
                <xdr:rowOff>38100</xdr:rowOff>
              </from>
              <to>
                <xdr:col>7</xdr:col>
                <xdr:colOff>209550</xdr:colOff>
                <xdr:row>50</xdr:row>
                <xdr:rowOff>0</xdr:rowOff>
              </to>
            </anchor>
          </controlPr>
        </control>
      </mc:Choice>
      <mc:Fallback>
        <control shapeId="41985" r:id="rId4" name="ListBoxSh"/>
      </mc:Fallback>
    </mc:AlternateContent>
    <mc:AlternateContent xmlns:mc="http://schemas.openxmlformats.org/markup-compatibility/2006">
      <mc:Choice Requires="x14">
        <control shapeId="41986" r:id="rId6" name="Button 2">
          <controlPr defaultSize="0" print="0" autoFill="0" autoPict="0" macro="[0]!PrintSheets">
            <anchor moveWithCells="1" sizeWithCells="1">
              <from>
                <xdr:col>8</xdr:col>
                <xdr:colOff>28575</xdr:colOff>
                <xdr:row>9</xdr:row>
                <xdr:rowOff>142875</xdr:rowOff>
              </from>
              <to>
                <xdr:col>10</xdr:col>
                <xdr:colOff>600075</xdr:colOff>
                <xdr:row>13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92D050"/>
    <pageSetUpPr fitToPage="1"/>
  </sheetPr>
  <dimension ref="B1:M37"/>
  <sheetViews>
    <sheetView showGridLines="0" topLeftCell="B1" zoomScale="90" zoomScaleNormal="90" zoomScaleSheetLayoutView="100" workbookViewId="0">
      <pane ySplit="1" topLeftCell="A2" activePane="bottomLeft" state="frozen"/>
      <selection pane="bottomLeft" activeCell="C3" sqref="C2:C3"/>
    </sheetView>
  </sheetViews>
  <sheetFormatPr defaultColWidth="9.140625" defaultRowHeight="15.75"/>
  <cols>
    <col min="1" max="1" width="12" style="4" customWidth="1"/>
    <col min="2" max="2" width="49.42578125" style="4" customWidth="1"/>
    <col min="3" max="3" width="28.85546875" style="4" customWidth="1"/>
    <col min="4" max="4" width="26.28515625" style="4" customWidth="1"/>
    <col min="5" max="5" width="12.42578125" style="4" customWidth="1"/>
    <col min="6" max="6" width="21.85546875" style="4" customWidth="1"/>
    <col min="7" max="8" width="6.28515625" style="4" customWidth="1"/>
    <col min="9" max="9" width="7.140625" style="4" customWidth="1"/>
    <col min="10" max="10" width="15.7109375" style="138" customWidth="1"/>
    <col min="11" max="11" width="27" style="138" customWidth="1"/>
    <col min="12" max="12" width="25.7109375" style="138" customWidth="1"/>
    <col min="13" max="13" width="15.85546875" style="138" customWidth="1"/>
    <col min="14" max="16384" width="9.140625" style="4"/>
  </cols>
  <sheetData>
    <row r="1" spans="2:13" ht="21" customHeight="1" thickBot="1">
      <c r="B1" s="177" t="s">
        <v>18</v>
      </c>
      <c r="C1" s="201" t="s">
        <v>44</v>
      </c>
      <c r="D1" s="201" t="s">
        <v>179</v>
      </c>
      <c r="E1" s="178" t="s">
        <v>172</v>
      </c>
      <c r="F1" s="162" t="s">
        <v>171</v>
      </c>
      <c r="J1" s="122" t="s">
        <v>153</v>
      </c>
      <c r="K1" s="122" t="s">
        <v>154</v>
      </c>
      <c r="L1" s="123" t="s">
        <v>155</v>
      </c>
      <c r="M1" s="123" t="s">
        <v>156</v>
      </c>
    </row>
    <row r="2" spans="2:13" ht="27" thickBot="1">
      <c r="B2" s="173" t="s">
        <v>103</v>
      </c>
      <c r="C2" s="368"/>
      <c r="D2" s="202" t="s">
        <v>180</v>
      </c>
      <c r="E2" s="175">
        <v>0.15</v>
      </c>
      <c r="F2" s="163" t="s">
        <v>170</v>
      </c>
      <c r="J2" s="122">
        <v>111</v>
      </c>
      <c r="K2" s="124" t="s">
        <v>106</v>
      </c>
      <c r="L2" s="125" t="s">
        <v>102</v>
      </c>
      <c r="M2" s="123"/>
    </row>
    <row r="3" spans="2:13" ht="27" thickBot="1">
      <c r="B3" s="174" t="s">
        <v>104</v>
      </c>
      <c r="C3" s="203"/>
      <c r="D3" s="204" t="s">
        <v>181</v>
      </c>
      <c r="E3" s="176">
        <v>0.3</v>
      </c>
      <c r="F3" s="164" t="s">
        <v>8</v>
      </c>
      <c r="I3"/>
      <c r="J3" s="122">
        <v>112</v>
      </c>
      <c r="K3" s="126" t="s">
        <v>109</v>
      </c>
      <c r="L3" s="125" t="s">
        <v>108</v>
      </c>
      <c r="M3" s="123" t="b">
        <v>1</v>
      </c>
    </row>
    <row r="4" spans="2:13" ht="16.5" thickBot="1">
      <c r="B4" s="5" t="s">
        <v>101</v>
      </c>
      <c r="E4" s="166" t="s">
        <v>175</v>
      </c>
      <c r="F4" s="164" t="s">
        <v>173</v>
      </c>
      <c r="I4"/>
      <c r="J4" s="122">
        <v>113</v>
      </c>
      <c r="K4" s="133" t="s">
        <v>135</v>
      </c>
      <c r="L4" s="125" t="s">
        <v>110</v>
      </c>
      <c r="M4" s="123"/>
    </row>
    <row r="5" spans="2:13" ht="16.5" thickBot="1">
      <c r="B5" s="5" t="s">
        <v>107</v>
      </c>
      <c r="E5" s="166" t="s">
        <v>35</v>
      </c>
      <c r="F5" s="164" t="s">
        <v>174</v>
      </c>
      <c r="I5"/>
      <c r="J5" s="122">
        <v>114</v>
      </c>
      <c r="K5" s="134" t="s">
        <v>136</v>
      </c>
      <c r="L5" s="125" t="s">
        <v>111</v>
      </c>
      <c r="M5" s="123"/>
    </row>
    <row r="6" spans="2:13" ht="16.5" thickBot="1">
      <c r="B6" s="5" t="s">
        <v>147</v>
      </c>
      <c r="E6" s="166" t="s">
        <v>28</v>
      </c>
      <c r="F6" s="164" t="s">
        <v>176</v>
      </c>
      <c r="I6"/>
      <c r="J6" s="122">
        <v>115</v>
      </c>
      <c r="K6" s="137" t="s">
        <v>157</v>
      </c>
      <c r="L6" s="125" t="s">
        <v>112</v>
      </c>
      <c r="M6" s="123"/>
    </row>
    <row r="7" spans="2:13" ht="16.5" thickBot="1">
      <c r="B7" s="5" t="s">
        <v>148</v>
      </c>
      <c r="E7" s="167">
        <v>400</v>
      </c>
      <c r="F7" s="165" t="s">
        <v>177</v>
      </c>
      <c r="I7"/>
      <c r="J7" s="122">
        <v>150</v>
      </c>
      <c r="K7" s="127" t="s">
        <v>129</v>
      </c>
      <c r="L7" s="125" t="s">
        <v>105</v>
      </c>
      <c r="M7" s="123" t="b">
        <v>1</v>
      </c>
    </row>
    <row r="8" spans="2:13" ht="16.5" thickBot="1">
      <c r="B8" s="5" t="s">
        <v>145</v>
      </c>
      <c r="E8" s="139"/>
      <c r="F8" s="140"/>
      <c r="I8"/>
      <c r="J8" s="122">
        <v>145</v>
      </c>
      <c r="K8" s="128" t="s">
        <v>130</v>
      </c>
      <c r="L8" s="125"/>
      <c r="M8" s="123"/>
    </row>
    <row r="9" spans="2:13" ht="16.5" thickBot="1">
      <c r="E9" s="139"/>
      <c r="F9" s="140"/>
      <c r="I9"/>
      <c r="J9" s="122">
        <v>140</v>
      </c>
      <c r="K9" s="129" t="s">
        <v>131</v>
      </c>
      <c r="L9" s="125"/>
      <c r="M9" s="123"/>
    </row>
    <row r="10" spans="2:13" ht="16.5" thickBot="1">
      <c r="E10" s="139"/>
      <c r="F10" s="140"/>
      <c r="I10"/>
      <c r="J10" s="122">
        <v>135</v>
      </c>
      <c r="K10" s="130" t="s">
        <v>132</v>
      </c>
      <c r="L10" s="125"/>
      <c r="M10" s="123"/>
    </row>
    <row r="11" spans="2:13" ht="16.5" thickBot="1">
      <c r="E11" s="139"/>
      <c r="F11" s="140"/>
      <c r="I11"/>
      <c r="J11" s="122">
        <v>130</v>
      </c>
      <c r="K11" s="131" t="s">
        <v>133</v>
      </c>
      <c r="L11" s="125"/>
      <c r="M11" s="123"/>
    </row>
    <row r="12" spans="2:13" ht="16.5" thickBot="1">
      <c r="B12" s="155"/>
      <c r="E12" s="139"/>
      <c r="F12" s="140"/>
      <c r="J12" s="122">
        <v>125</v>
      </c>
      <c r="K12" s="132" t="s">
        <v>134</v>
      </c>
      <c r="L12" s="125"/>
      <c r="M12" s="123"/>
    </row>
    <row r="13" spans="2:13" ht="16.5" thickBot="1">
      <c r="B13" s="155"/>
      <c r="E13" s="139"/>
      <c r="F13" s="140"/>
      <c r="J13" s="122">
        <v>210</v>
      </c>
      <c r="K13" s="135" t="s">
        <v>146</v>
      </c>
      <c r="L13" s="125"/>
      <c r="M13" s="123"/>
    </row>
    <row r="14" spans="2:13" ht="16.5" thickBot="1">
      <c r="B14" s="155"/>
      <c r="E14" s="139"/>
      <c r="F14" s="140"/>
      <c r="J14" s="122">
        <v>211</v>
      </c>
      <c r="K14" s="136" t="s">
        <v>138</v>
      </c>
      <c r="L14"/>
      <c r="M14"/>
    </row>
    <row r="15" spans="2:13" ht="16.5" thickBot="1">
      <c r="B15" s="155"/>
      <c r="E15" s="139"/>
      <c r="F15" s="140"/>
      <c r="J15" s="122">
        <v>500</v>
      </c>
      <c r="K15" s="136" t="s">
        <v>187</v>
      </c>
    </row>
    <row r="16" spans="2:13" ht="16.5" thickBot="1">
      <c r="B16" s="155"/>
      <c r="E16" s="141"/>
      <c r="F16" s="142"/>
    </row>
    <row r="24" spans="10:11">
      <c r="J24" s="213"/>
      <c r="K24" s="214"/>
    </row>
    <row r="25" spans="10:11">
      <c r="J25" s="213"/>
      <c r="K25" s="214"/>
    </row>
    <row r="26" spans="10:11">
      <c r="J26" s="213"/>
      <c r="K26" s="214"/>
    </row>
    <row r="27" spans="10:11">
      <c r="J27" s="213"/>
      <c r="K27" s="214"/>
    </row>
    <row r="28" spans="10:11">
      <c r="J28" s="213"/>
      <c r="K28" s="214"/>
    </row>
    <row r="29" spans="10:11">
      <c r="J29" s="213"/>
      <c r="K29" s="214"/>
    </row>
    <row r="30" spans="10:11">
      <c r="J30" s="213"/>
      <c r="K30" s="214"/>
    </row>
    <row r="31" spans="10:11">
      <c r="J31" s="213"/>
      <c r="K31" s="214"/>
    </row>
    <row r="32" spans="10:11">
      <c r="J32" s="213"/>
      <c r="K32" s="214"/>
    </row>
    <row r="33" spans="10:11">
      <c r="J33" s="213"/>
      <c r="K33" s="214"/>
    </row>
    <row r="34" spans="10:11">
      <c r="J34" s="213"/>
      <c r="K34" s="214"/>
    </row>
    <row r="35" spans="10:11">
      <c r="J35" s="213"/>
      <c r="K35" s="214"/>
    </row>
    <row r="36" spans="10:11">
      <c r="J36" s="213"/>
      <c r="K36" s="214"/>
    </row>
    <row r="37" spans="10:11">
      <c r="J37" s="213"/>
      <c r="K37" s="214"/>
    </row>
  </sheetData>
  <sheetProtection formatCells="0" formatColumns="0" formatRows="0" insertColumns="0" insertRows="0" insertHyperlinks="0" deleteColumns="0" deleteRows="0" selectLockedCells="1" sort="0" autoFilter="0" pivotTables="0"/>
  <pageMargins left="0.70866141732283472" right="0.70866141732283472" top="0.74803149606299213" bottom="0.74803149606299213" header="0.31496062992125984" footer="0.31496062992125984"/>
  <pageSetup paperSize="9" fitToWidth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rgb="FF92D050"/>
  </sheetPr>
  <dimension ref="A1:S94"/>
  <sheetViews>
    <sheetView zoomScale="85" zoomScaleNormal="85" workbookViewId="0">
      <selection activeCell="M4" sqref="M4"/>
    </sheetView>
  </sheetViews>
  <sheetFormatPr defaultRowHeight="15"/>
  <cols>
    <col min="1" max="1" width="11" style="90" customWidth="1"/>
    <col min="2" max="2" width="30.7109375" style="90" customWidth="1"/>
    <col min="3" max="3" width="28" style="90" customWidth="1"/>
    <col min="4" max="4" width="13.28515625" style="90" customWidth="1"/>
    <col min="5" max="6" width="0.140625" customWidth="1"/>
    <col min="7" max="7" width="13.85546875" customWidth="1"/>
    <col min="8" max="8" width="7.140625" customWidth="1"/>
    <col min="9" max="12" width="10" customWidth="1"/>
    <col min="13" max="13" width="14.140625" bestFit="1" customWidth="1"/>
    <col min="14" max="15" width="19" bestFit="1" customWidth="1"/>
    <col min="16" max="35" width="18.5703125" customWidth="1"/>
    <col min="36" max="526" width="1.7109375" customWidth="1"/>
  </cols>
  <sheetData>
    <row r="1" spans="1:19">
      <c r="A1" s="93" t="s">
        <v>167</v>
      </c>
      <c r="B1" s="93" t="s">
        <v>117</v>
      </c>
      <c r="C1" s="94" t="s">
        <v>139</v>
      </c>
      <c r="D1" s="94" t="s">
        <v>168</v>
      </c>
      <c r="E1" t="s">
        <v>142</v>
      </c>
      <c r="F1" t="s">
        <v>140</v>
      </c>
    </row>
    <row r="2" spans="1:19" ht="20.25">
      <c r="A2" s="182">
        <v>111</v>
      </c>
      <c r="B2" s="182" t="s">
        <v>106</v>
      </c>
      <c r="C2" s="182" t="s">
        <v>70</v>
      </c>
      <c r="D2" s="183">
        <v>2</v>
      </c>
      <c r="E2">
        <v>12</v>
      </c>
      <c r="F2">
        <v>24</v>
      </c>
      <c r="M2" s="61" t="s">
        <v>140</v>
      </c>
      <c r="N2" t="s">
        <v>280</v>
      </c>
    </row>
    <row r="3" spans="1:19" ht="21">
      <c r="A3" s="182">
        <v>111</v>
      </c>
      <c r="B3" s="182" t="s">
        <v>106</v>
      </c>
      <c r="C3" s="182" t="s">
        <v>75</v>
      </c>
      <c r="D3" s="184">
        <v>1</v>
      </c>
      <c r="E3">
        <v>12</v>
      </c>
      <c r="F3">
        <v>12</v>
      </c>
    </row>
    <row r="4" spans="1:19" ht="21">
      <c r="A4" s="185">
        <v>112</v>
      </c>
      <c r="B4" s="185" t="s">
        <v>109</v>
      </c>
      <c r="C4" s="185" t="s">
        <v>70</v>
      </c>
      <c r="D4" s="187">
        <v>3</v>
      </c>
      <c r="F4">
        <v>0</v>
      </c>
      <c r="M4" s="61" t="s">
        <v>117</v>
      </c>
      <c r="N4" t="s">
        <v>141</v>
      </c>
    </row>
    <row r="5" spans="1:19" ht="20.25">
      <c r="A5" s="185">
        <v>112</v>
      </c>
      <c r="B5" s="185" t="s">
        <v>109</v>
      </c>
      <c r="C5" s="185" t="s">
        <v>75</v>
      </c>
      <c r="D5" s="186">
        <v>1</v>
      </c>
      <c r="F5">
        <v>0</v>
      </c>
      <c r="M5" s="73" t="s">
        <v>78</v>
      </c>
      <c r="N5" s="62">
        <v>1</v>
      </c>
    </row>
    <row r="6" spans="1:19" ht="20.25">
      <c r="A6" s="182">
        <v>113</v>
      </c>
      <c r="B6" s="182" t="s">
        <v>135</v>
      </c>
      <c r="C6" s="182" t="s">
        <v>70</v>
      </c>
      <c r="D6" s="183">
        <v>2</v>
      </c>
      <c r="E6">
        <v>2</v>
      </c>
      <c r="F6">
        <v>4</v>
      </c>
      <c r="M6" s="73" t="s">
        <v>85</v>
      </c>
      <c r="N6" s="62">
        <v>20</v>
      </c>
    </row>
    <row r="7" spans="1:19" ht="20.25">
      <c r="A7" s="182">
        <v>113</v>
      </c>
      <c r="B7" s="182" t="s">
        <v>135</v>
      </c>
      <c r="C7" s="182" t="s">
        <v>33</v>
      </c>
      <c r="D7" s="183">
        <v>2</v>
      </c>
      <c r="E7">
        <v>2</v>
      </c>
      <c r="F7">
        <v>4</v>
      </c>
      <c r="M7" s="73" t="s">
        <v>33</v>
      </c>
      <c r="N7" s="62">
        <v>6</v>
      </c>
      <c r="R7" s="73"/>
      <c r="S7" s="62"/>
    </row>
    <row r="8" spans="1:19" ht="20.25">
      <c r="A8" s="182">
        <v>113</v>
      </c>
      <c r="B8" s="182" t="s">
        <v>135</v>
      </c>
      <c r="C8" s="182" t="s">
        <v>75</v>
      </c>
      <c r="D8" s="183">
        <v>1</v>
      </c>
      <c r="E8">
        <v>2</v>
      </c>
      <c r="F8">
        <v>2</v>
      </c>
      <c r="M8" s="73" t="s">
        <v>75</v>
      </c>
      <c r="N8" s="62">
        <v>18</v>
      </c>
      <c r="R8" s="73"/>
      <c r="S8" s="62"/>
    </row>
    <row r="9" spans="1:19" ht="20.25">
      <c r="A9" s="185">
        <v>114</v>
      </c>
      <c r="B9" s="185" t="s">
        <v>136</v>
      </c>
      <c r="C9" s="185" t="s">
        <v>70</v>
      </c>
      <c r="D9" s="186">
        <v>2</v>
      </c>
      <c r="E9">
        <v>1</v>
      </c>
      <c r="F9">
        <v>2</v>
      </c>
      <c r="M9" s="73" t="s">
        <v>30</v>
      </c>
      <c r="N9" s="62">
        <v>3</v>
      </c>
      <c r="R9" s="73"/>
      <c r="S9" s="62"/>
    </row>
    <row r="10" spans="1:19" ht="20.25">
      <c r="A10" s="185">
        <v>114</v>
      </c>
      <c r="B10" s="185" t="s">
        <v>136</v>
      </c>
      <c r="C10" s="185" t="s">
        <v>33</v>
      </c>
      <c r="D10" s="186">
        <v>2</v>
      </c>
      <c r="E10">
        <v>1</v>
      </c>
      <c r="F10">
        <v>2</v>
      </c>
      <c r="M10" s="73" t="s">
        <v>70</v>
      </c>
      <c r="N10" s="62">
        <v>30</v>
      </c>
      <c r="R10" s="73"/>
      <c r="S10" s="62"/>
    </row>
    <row r="11" spans="1:19" ht="20.25">
      <c r="A11" s="185">
        <v>114</v>
      </c>
      <c r="B11" s="185" t="s">
        <v>136</v>
      </c>
      <c r="C11" s="185" t="s">
        <v>75</v>
      </c>
      <c r="D11" s="186">
        <v>1</v>
      </c>
      <c r="E11">
        <v>1</v>
      </c>
      <c r="F11">
        <v>1</v>
      </c>
      <c r="M11" s="73" t="s">
        <v>169</v>
      </c>
      <c r="N11" s="62">
        <v>78</v>
      </c>
      <c r="R11" s="73"/>
      <c r="S11" s="62"/>
    </row>
    <row r="12" spans="1:19" ht="20.25">
      <c r="A12" s="185">
        <v>114</v>
      </c>
      <c r="B12" s="185" t="s">
        <v>136</v>
      </c>
      <c r="C12" s="185" t="s">
        <v>78</v>
      </c>
      <c r="D12" s="186">
        <v>1</v>
      </c>
      <c r="E12">
        <v>1</v>
      </c>
      <c r="F12">
        <v>1</v>
      </c>
      <c r="R12" s="156"/>
      <c r="S12" s="157"/>
    </row>
    <row r="13" spans="1:19" ht="20.25">
      <c r="A13" s="182">
        <v>115</v>
      </c>
      <c r="B13" s="182" t="s">
        <v>157</v>
      </c>
      <c r="C13" s="182" t="s">
        <v>70</v>
      </c>
      <c r="D13" s="183">
        <v>2</v>
      </c>
      <c r="F13">
        <v>0</v>
      </c>
    </row>
    <row r="14" spans="1:19" ht="20.25">
      <c r="A14" s="182">
        <v>115</v>
      </c>
      <c r="B14" s="182" t="s">
        <v>157</v>
      </c>
      <c r="C14" s="182" t="s">
        <v>75</v>
      </c>
      <c r="D14" s="183">
        <v>1</v>
      </c>
      <c r="F14">
        <v>0</v>
      </c>
    </row>
    <row r="15" spans="1:19" ht="20.25">
      <c r="A15" s="182">
        <v>115</v>
      </c>
      <c r="B15" s="182" t="s">
        <v>157</v>
      </c>
      <c r="C15" s="182" t="s">
        <v>78</v>
      </c>
      <c r="D15" s="183">
        <v>1</v>
      </c>
      <c r="F15">
        <v>0</v>
      </c>
    </row>
    <row r="16" spans="1:19" ht="20.25">
      <c r="A16" s="185">
        <v>150</v>
      </c>
      <c r="B16" s="185" t="s">
        <v>129</v>
      </c>
      <c r="C16" s="185" t="s">
        <v>30</v>
      </c>
      <c r="D16" s="186">
        <v>1</v>
      </c>
      <c r="E16">
        <v>3</v>
      </c>
      <c r="F16">
        <v>3</v>
      </c>
    </row>
    <row r="17" spans="1:6" ht="20.25">
      <c r="A17" s="185">
        <v>150</v>
      </c>
      <c r="B17" s="185" t="s">
        <v>129</v>
      </c>
      <c r="C17" s="185" t="s">
        <v>75</v>
      </c>
      <c r="D17" s="186">
        <v>1</v>
      </c>
      <c r="E17">
        <v>3</v>
      </c>
      <c r="F17">
        <v>3</v>
      </c>
    </row>
    <row r="18" spans="1:6" ht="20.25">
      <c r="A18" s="182">
        <v>145</v>
      </c>
      <c r="B18" s="182" t="s">
        <v>130</v>
      </c>
      <c r="C18" s="182" t="s">
        <v>72</v>
      </c>
      <c r="D18" s="183">
        <v>1</v>
      </c>
      <c r="F18">
        <v>0</v>
      </c>
    </row>
    <row r="19" spans="1:6" ht="20.25">
      <c r="A19" s="182">
        <v>145</v>
      </c>
      <c r="B19" s="182" t="s">
        <v>130</v>
      </c>
      <c r="C19" s="182" t="s">
        <v>75</v>
      </c>
      <c r="D19" s="183">
        <v>1</v>
      </c>
      <c r="F19">
        <v>0</v>
      </c>
    </row>
    <row r="20" spans="1:6" ht="20.25">
      <c r="A20" s="185">
        <v>140</v>
      </c>
      <c r="B20" s="185" t="s">
        <v>131</v>
      </c>
      <c r="C20" s="185" t="s">
        <v>31</v>
      </c>
      <c r="D20" s="186">
        <v>1</v>
      </c>
      <c r="F20">
        <v>0</v>
      </c>
    </row>
    <row r="21" spans="1:6" ht="20.25">
      <c r="A21" s="185">
        <v>140</v>
      </c>
      <c r="B21" s="185" t="s">
        <v>131</v>
      </c>
      <c r="C21" s="185" t="s">
        <v>75</v>
      </c>
      <c r="D21" s="186">
        <v>1</v>
      </c>
      <c r="F21">
        <v>0</v>
      </c>
    </row>
    <row r="22" spans="1:6" ht="20.25">
      <c r="A22" s="182">
        <v>135</v>
      </c>
      <c r="B22" s="182" t="s">
        <v>132</v>
      </c>
      <c r="C22" s="182" t="s">
        <v>73</v>
      </c>
      <c r="D22" s="183">
        <v>1</v>
      </c>
      <c r="F22">
        <v>0</v>
      </c>
    </row>
    <row r="23" spans="1:6" ht="20.25">
      <c r="A23" s="182">
        <v>135</v>
      </c>
      <c r="B23" s="182" t="s">
        <v>132</v>
      </c>
      <c r="C23" s="182" t="s">
        <v>75</v>
      </c>
      <c r="D23" s="183">
        <v>1</v>
      </c>
      <c r="F23">
        <v>0</v>
      </c>
    </row>
    <row r="24" spans="1:6" ht="20.25">
      <c r="A24" s="185">
        <v>130</v>
      </c>
      <c r="B24" s="185" t="s">
        <v>133</v>
      </c>
      <c r="C24" s="185" t="s">
        <v>32</v>
      </c>
      <c r="D24" s="186">
        <v>1</v>
      </c>
      <c r="F24">
        <v>0</v>
      </c>
    </row>
    <row r="25" spans="1:6" ht="20.25">
      <c r="A25" s="185">
        <v>130</v>
      </c>
      <c r="B25" s="185" t="s">
        <v>133</v>
      </c>
      <c r="C25" s="185" t="s">
        <v>75</v>
      </c>
      <c r="D25" s="186">
        <v>1</v>
      </c>
      <c r="F25">
        <v>0</v>
      </c>
    </row>
    <row r="26" spans="1:6" ht="20.25">
      <c r="A26" s="182">
        <v>125</v>
      </c>
      <c r="B26" s="182" t="s">
        <v>134</v>
      </c>
      <c r="C26" s="182" t="s">
        <v>74</v>
      </c>
      <c r="D26" s="183">
        <v>1</v>
      </c>
      <c r="F26">
        <v>0</v>
      </c>
    </row>
    <row r="27" spans="1:6" ht="20.25">
      <c r="A27" s="182">
        <v>125</v>
      </c>
      <c r="B27" s="182" t="s">
        <v>134</v>
      </c>
      <c r="C27" s="182" t="s">
        <v>75</v>
      </c>
      <c r="D27" s="183">
        <v>1</v>
      </c>
      <c r="F27">
        <v>0</v>
      </c>
    </row>
    <row r="28" spans="1:6" ht="20.25">
      <c r="A28" s="185">
        <v>210</v>
      </c>
      <c r="B28" s="185" t="s">
        <v>137</v>
      </c>
      <c r="C28" s="185" t="s">
        <v>85</v>
      </c>
      <c r="D28" s="186">
        <v>4</v>
      </c>
      <c r="E28">
        <v>5</v>
      </c>
      <c r="F28">
        <v>20</v>
      </c>
    </row>
    <row r="29" spans="1:6" ht="20.25">
      <c r="A29" s="182">
        <v>211</v>
      </c>
      <c r="B29" s="182" t="s">
        <v>138</v>
      </c>
      <c r="C29" s="182" t="s">
        <v>85</v>
      </c>
      <c r="D29" s="183">
        <v>2</v>
      </c>
      <c r="F29">
        <v>0</v>
      </c>
    </row>
    <row r="30" spans="1:6" ht="20.25">
      <c r="A30" s="185">
        <v>212</v>
      </c>
      <c r="B30" s="185" t="s">
        <v>137</v>
      </c>
      <c r="C30" s="185" t="s">
        <v>85</v>
      </c>
      <c r="D30" s="186">
        <v>6</v>
      </c>
      <c r="F30">
        <v>0</v>
      </c>
    </row>
    <row r="31" spans="1:6" ht="20.25">
      <c r="A31" s="182">
        <v>214</v>
      </c>
      <c r="B31" s="182" t="s">
        <v>137</v>
      </c>
      <c r="C31" s="182" t="s">
        <v>85</v>
      </c>
      <c r="D31" s="183">
        <v>8</v>
      </c>
      <c r="F31">
        <v>0</v>
      </c>
    </row>
    <row r="32" spans="1:6">
      <c r="A32" s="212"/>
      <c r="B32" s="212"/>
      <c r="C32" s="212"/>
      <c r="D32" s="212"/>
    </row>
    <row r="33" spans="1:4">
      <c r="A33" s="212"/>
      <c r="B33" s="212"/>
      <c r="C33" s="212"/>
      <c r="D33" s="212"/>
    </row>
    <row r="34" spans="1:4">
      <c r="A34" s="212"/>
      <c r="B34" s="212"/>
      <c r="C34" s="212"/>
      <c r="D34" s="212"/>
    </row>
    <row r="35" spans="1:4" ht="19.5" customHeight="1">
      <c r="A35" s="212"/>
      <c r="B35" s="212"/>
      <c r="C35" s="212"/>
      <c r="D35" s="212"/>
    </row>
    <row r="36" spans="1:4">
      <c r="A36" s="212"/>
      <c r="B36" s="212"/>
      <c r="C36" s="212"/>
      <c r="D36" s="212"/>
    </row>
    <row r="37" spans="1:4">
      <c r="A37" s="212"/>
      <c r="B37" s="212"/>
      <c r="C37" s="212"/>
      <c r="D37" s="212"/>
    </row>
    <row r="38" spans="1:4">
      <c r="A38" s="212"/>
      <c r="B38" s="212"/>
      <c r="C38" s="212"/>
      <c r="D38" s="212"/>
    </row>
    <row r="39" spans="1:4">
      <c r="A39" s="212"/>
      <c r="B39" s="212"/>
      <c r="C39" s="212"/>
      <c r="D39" s="212"/>
    </row>
    <row r="40" spans="1:4">
      <c r="A40" s="212"/>
      <c r="B40" s="212"/>
      <c r="C40" s="212"/>
      <c r="D40" s="212"/>
    </row>
    <row r="41" spans="1:4">
      <c r="A41" s="212"/>
      <c r="B41" s="212"/>
      <c r="C41" s="212"/>
      <c r="D41" s="212"/>
    </row>
    <row r="42" spans="1:4">
      <c r="A42" s="212"/>
      <c r="B42" s="212"/>
      <c r="C42" s="212"/>
      <c r="D42" s="212"/>
    </row>
    <row r="43" spans="1:4">
      <c r="A43" s="205"/>
      <c r="B43" s="205"/>
      <c r="C43" s="205"/>
      <c r="D43" s="206"/>
    </row>
    <row r="44" spans="1:4">
      <c r="A44" s="205"/>
      <c r="B44" s="205"/>
      <c r="C44" s="205"/>
      <c r="D44" s="206"/>
    </row>
    <row r="45" spans="1:4">
      <c r="A45" s="205"/>
      <c r="B45" s="205"/>
      <c r="C45" s="205"/>
      <c r="D45" s="206"/>
    </row>
    <row r="46" spans="1:4">
      <c r="A46" s="205"/>
      <c r="B46" s="205"/>
      <c r="C46" s="205"/>
      <c r="D46" s="206"/>
    </row>
    <row r="47" spans="1:4">
      <c r="A47" s="205"/>
      <c r="B47" s="205"/>
      <c r="C47" s="205"/>
      <c r="D47" s="206"/>
    </row>
    <row r="48" spans="1:4">
      <c r="A48" s="205"/>
      <c r="B48" s="205"/>
      <c r="C48" s="205"/>
      <c r="D48" s="206"/>
    </row>
    <row r="49" spans="1:4">
      <c r="A49" s="205"/>
      <c r="B49" s="205"/>
      <c r="C49" s="205"/>
      <c r="D49" s="206"/>
    </row>
    <row r="50" spans="1:4">
      <c r="A50" s="205"/>
      <c r="B50" s="205"/>
      <c r="C50" s="205"/>
      <c r="D50" s="206"/>
    </row>
    <row r="51" spans="1:4">
      <c r="A51" s="205"/>
      <c r="B51" s="205"/>
      <c r="C51" s="205"/>
      <c r="D51" s="206"/>
    </row>
    <row r="52" spans="1:4">
      <c r="A52" s="205"/>
      <c r="B52" s="205"/>
      <c r="C52" s="205"/>
      <c r="D52" s="206"/>
    </row>
    <row r="53" spans="1:4">
      <c r="A53" s="205"/>
      <c r="B53" s="205"/>
      <c r="C53" s="205"/>
      <c r="D53" s="206"/>
    </row>
    <row r="54" spans="1:4">
      <c r="A54" s="205"/>
      <c r="B54" s="205"/>
      <c r="C54" s="205"/>
      <c r="D54" s="206"/>
    </row>
    <row r="55" spans="1:4">
      <c r="A55" s="205"/>
      <c r="B55" s="205"/>
      <c r="C55" s="205"/>
      <c r="D55" s="206"/>
    </row>
    <row r="56" spans="1:4">
      <c r="A56" s="205"/>
      <c r="B56" s="205"/>
      <c r="C56" s="205"/>
      <c r="D56" s="206"/>
    </row>
    <row r="57" spans="1:4">
      <c r="A57" s="205"/>
      <c r="B57" s="205"/>
      <c r="C57" s="205"/>
      <c r="D57" s="206"/>
    </row>
    <row r="58" spans="1:4">
      <c r="A58" s="205"/>
      <c r="B58" s="205"/>
      <c r="C58" s="205"/>
      <c r="D58" s="206"/>
    </row>
    <row r="59" spans="1:4">
      <c r="A59" s="205"/>
      <c r="B59" s="205"/>
      <c r="C59" s="205"/>
      <c r="D59" s="206"/>
    </row>
    <row r="60" spans="1:4">
      <c r="A60" s="205"/>
      <c r="B60" s="205"/>
      <c r="C60" s="205"/>
      <c r="D60" s="206"/>
    </row>
    <row r="61" spans="1:4">
      <c r="A61" s="205"/>
      <c r="B61" s="205"/>
      <c r="C61" s="205"/>
      <c r="D61" s="206"/>
    </row>
    <row r="62" spans="1:4">
      <c r="A62" s="205"/>
      <c r="B62" s="205"/>
      <c r="C62" s="205"/>
      <c r="D62" s="206"/>
    </row>
    <row r="63" spans="1:4">
      <c r="A63" s="205"/>
      <c r="B63" s="205"/>
      <c r="C63" s="205"/>
      <c r="D63" s="206"/>
    </row>
    <row r="64" spans="1:4">
      <c r="A64" s="205"/>
      <c r="B64" s="205"/>
      <c r="C64" s="205"/>
      <c r="D64" s="206"/>
    </row>
    <row r="65" spans="1:4">
      <c r="A65" s="205"/>
      <c r="B65" s="205"/>
      <c r="C65" s="205"/>
      <c r="D65" s="206"/>
    </row>
    <row r="66" spans="1:4">
      <c r="A66" s="205"/>
      <c r="B66" s="205"/>
      <c r="C66" s="205"/>
      <c r="D66" s="206"/>
    </row>
    <row r="67" spans="1:4">
      <c r="A67" s="205"/>
      <c r="B67" s="205"/>
      <c r="C67" s="205"/>
      <c r="D67" s="206"/>
    </row>
    <row r="68" spans="1:4">
      <c r="A68" s="205"/>
      <c r="B68" s="205"/>
      <c r="C68" s="205"/>
      <c r="D68" s="206"/>
    </row>
    <row r="69" spans="1:4">
      <c r="A69" s="205"/>
      <c r="B69" s="205"/>
      <c r="C69" s="205"/>
      <c r="D69" s="206"/>
    </row>
    <row r="70" spans="1:4">
      <c r="A70" s="205"/>
      <c r="B70" s="205"/>
      <c r="C70" s="205"/>
      <c r="D70" s="206"/>
    </row>
    <row r="71" spans="1:4">
      <c r="A71" s="205"/>
      <c r="B71" s="205"/>
      <c r="C71" s="205"/>
      <c r="D71" s="206"/>
    </row>
    <row r="72" spans="1:4">
      <c r="A72" s="205"/>
      <c r="B72" s="205"/>
      <c r="C72" s="205"/>
      <c r="D72" s="206"/>
    </row>
    <row r="73" spans="1:4">
      <c r="A73" s="205"/>
      <c r="B73" s="205"/>
      <c r="C73" s="205"/>
      <c r="D73" s="206"/>
    </row>
    <row r="74" spans="1:4">
      <c r="A74" s="205"/>
      <c r="B74" s="205"/>
      <c r="C74" s="205"/>
      <c r="D74" s="206"/>
    </row>
    <row r="75" spans="1:4">
      <c r="A75" s="205"/>
      <c r="B75" s="205"/>
      <c r="C75" s="205"/>
      <c r="D75" s="206"/>
    </row>
    <row r="76" spans="1:4">
      <c r="A76" s="205"/>
      <c r="B76" s="205"/>
      <c r="C76" s="205"/>
      <c r="D76" s="206"/>
    </row>
    <row r="77" spans="1:4">
      <c r="A77" s="205"/>
      <c r="B77" s="205"/>
      <c r="C77" s="205"/>
      <c r="D77" s="206"/>
    </row>
    <row r="78" spans="1:4">
      <c r="A78" s="205"/>
      <c r="B78" s="205"/>
      <c r="C78" s="205"/>
      <c r="D78" s="206"/>
    </row>
    <row r="79" spans="1:4">
      <c r="A79" s="205"/>
      <c r="B79" s="205"/>
      <c r="C79" s="205"/>
      <c r="D79" s="206"/>
    </row>
    <row r="80" spans="1:4">
      <c r="A80" s="205"/>
      <c r="B80" s="205"/>
      <c r="C80" s="205"/>
      <c r="D80" s="206"/>
    </row>
    <row r="81" spans="1:4">
      <c r="A81" s="205"/>
      <c r="B81" s="205"/>
      <c r="C81" s="205"/>
      <c r="D81" s="206"/>
    </row>
    <row r="82" spans="1:4">
      <c r="A82" s="205"/>
      <c r="B82" s="205"/>
      <c r="C82" s="205"/>
      <c r="D82" s="206"/>
    </row>
    <row r="83" spans="1:4">
      <c r="A83" s="205"/>
      <c r="B83" s="205"/>
      <c r="C83" s="205"/>
      <c r="D83" s="206"/>
    </row>
    <row r="84" spans="1:4">
      <c r="A84" s="205"/>
      <c r="B84" s="205"/>
      <c r="C84" s="205"/>
      <c r="D84" s="206"/>
    </row>
    <row r="85" spans="1:4">
      <c r="A85" s="205"/>
      <c r="B85" s="205"/>
      <c r="C85" s="205"/>
      <c r="D85" s="206"/>
    </row>
    <row r="86" spans="1:4">
      <c r="A86" s="205"/>
      <c r="B86" s="205"/>
      <c r="C86" s="205"/>
      <c r="D86" s="206"/>
    </row>
    <row r="87" spans="1:4">
      <c r="A87" s="205"/>
      <c r="B87" s="205"/>
      <c r="C87" s="205"/>
      <c r="D87" s="206"/>
    </row>
    <row r="88" spans="1:4">
      <c r="A88" s="205"/>
      <c r="B88" s="205"/>
      <c r="C88" s="205"/>
      <c r="D88" s="206"/>
    </row>
    <row r="89" spans="1:4">
      <c r="A89" s="205"/>
      <c r="B89" s="205"/>
      <c r="C89" s="205"/>
      <c r="D89" s="206"/>
    </row>
    <row r="90" spans="1:4">
      <c r="A90" s="205"/>
      <c r="B90" s="205"/>
      <c r="C90" s="205"/>
      <c r="D90" s="206"/>
    </row>
    <row r="91" spans="1:4">
      <c r="A91" s="205"/>
      <c r="B91" s="205"/>
      <c r="C91" s="205"/>
      <c r="D91" s="206"/>
    </row>
    <row r="92" spans="1:4">
      <c r="A92" s="205"/>
      <c r="B92" s="205"/>
      <c r="C92" s="205"/>
      <c r="D92" s="206"/>
    </row>
    <row r="93" spans="1:4">
      <c r="A93" s="205"/>
      <c r="B93" s="205"/>
      <c r="C93" s="205"/>
      <c r="D93" s="206"/>
    </row>
    <row r="94" spans="1:4">
      <c r="A94" s="205"/>
      <c r="B94" s="205"/>
      <c r="C94" s="205"/>
      <c r="D94" s="20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4" tint="0.39997558519241921"/>
  </sheetPr>
  <dimension ref="BI1:BX113"/>
  <sheetViews>
    <sheetView zoomScale="85" zoomScaleNormal="85" workbookViewId="0"/>
  </sheetViews>
  <sheetFormatPr defaultRowHeight="15" customHeight="1"/>
  <cols>
    <col min="19" max="22" width="0.140625" customWidth="1"/>
    <col min="25" max="26" width="0.140625" customWidth="1"/>
    <col min="27" max="27" width="18.85546875" bestFit="1" customWidth="1"/>
    <col min="28" max="28" width="15.7109375" bestFit="1" customWidth="1"/>
    <col min="39" max="39" width="9.28515625" bestFit="1" customWidth="1"/>
    <col min="40" max="40" width="15.42578125" bestFit="1" customWidth="1"/>
    <col min="43" max="43" width="17.85546875" bestFit="1" customWidth="1"/>
    <col min="44" max="44" width="15.42578125" bestFit="1" customWidth="1"/>
    <col min="60" max="60" width="24.140625" bestFit="1" customWidth="1"/>
    <col min="61" max="61" width="5.42578125" style="409" bestFit="1" customWidth="1"/>
    <col min="62" max="62" width="16" bestFit="1" customWidth="1"/>
    <col min="63" max="63" width="5.42578125" bestFit="1" customWidth="1"/>
    <col min="67" max="67" width="39.28515625" bestFit="1" customWidth="1"/>
    <col min="68" max="68" width="10.42578125" style="409" bestFit="1" customWidth="1"/>
    <col min="69" max="69" width="16" bestFit="1" customWidth="1"/>
    <col min="70" max="70" width="5.42578125" bestFit="1" customWidth="1"/>
    <col min="75" max="75" width="35.7109375" bestFit="1" customWidth="1"/>
    <col min="76" max="76" width="10.42578125" style="409" bestFit="1" customWidth="1"/>
    <col min="77" max="77" width="16" bestFit="1" customWidth="1"/>
    <col min="78" max="78" width="5.42578125" bestFit="1" customWidth="1"/>
    <col min="86" max="86" width="18.85546875" bestFit="1" customWidth="1"/>
    <col min="87" max="87" width="12" bestFit="1" customWidth="1"/>
  </cols>
  <sheetData>
    <row r="1" customFormat="1"/>
    <row r="2" customFormat="1"/>
    <row r="3" customFormat="1"/>
    <row r="4" customFormat="1"/>
    <row r="5" customFormat="1"/>
    <row r="6" customFormat="1"/>
    <row r="7" customFormat="1"/>
    <row r="8" customFormat="1"/>
    <row r="9" customFormat="1"/>
    <row r="10" customFormat="1"/>
    <row r="11" customFormat="1"/>
    <row r="12" customFormat="1"/>
    <row r="13" customFormat="1"/>
    <row r="14" customFormat="1"/>
    <row r="15" customFormat="1"/>
    <row r="16" customFormat="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 ht="15" customHeight="1"/>
    <row r="35" customFormat="1" ht="15" customHeight="1"/>
    <row r="36" customFormat="1" ht="15" customHeight="1"/>
    <row r="37" customFormat="1" ht="15" customHeight="1"/>
    <row r="38" customFormat="1" ht="15" customHeight="1"/>
    <row r="39" customFormat="1" ht="15" customHeight="1"/>
    <row r="40" customFormat="1" ht="15" customHeight="1"/>
    <row r="41" customFormat="1" ht="15" customHeight="1"/>
    <row r="42" customFormat="1" ht="15" customHeight="1"/>
    <row r="43" customFormat="1" ht="15" customHeight="1"/>
    <row r="44" customFormat="1" ht="15" customHeight="1"/>
    <row r="45" customFormat="1" ht="15" customHeight="1"/>
    <row r="46" customFormat="1" ht="15" customHeight="1"/>
    <row r="47" customFormat="1" ht="15" customHeight="1"/>
    <row r="48" customFormat="1" ht="15" customHeight="1"/>
    <row r="49" customFormat="1" ht="15" customHeight="1"/>
    <row r="50" customFormat="1" ht="15" customHeight="1"/>
    <row r="51" customFormat="1" ht="15" customHeight="1"/>
    <row r="52" customFormat="1" ht="15" customHeight="1"/>
    <row r="53" customFormat="1" ht="15" customHeight="1"/>
    <row r="54" customFormat="1" ht="15" customHeight="1"/>
    <row r="55" customFormat="1" ht="15" customHeight="1"/>
    <row r="56" customFormat="1" ht="15" customHeight="1"/>
    <row r="57" customFormat="1" ht="15" customHeight="1"/>
    <row r="58" customFormat="1" ht="15" customHeight="1"/>
    <row r="59" customFormat="1" ht="15" customHeight="1"/>
    <row r="60" customFormat="1" ht="15" customHeight="1"/>
    <row r="61" customFormat="1" ht="15" customHeight="1"/>
    <row r="62" customFormat="1" ht="15" customHeight="1"/>
    <row r="63" customFormat="1" ht="15" customHeight="1"/>
    <row r="64" customFormat="1" ht="15" customHeight="1"/>
    <row r="65" customFormat="1" ht="15" customHeight="1"/>
    <row r="66" customFormat="1" ht="15" customHeight="1"/>
    <row r="67" customFormat="1" ht="15" customHeight="1"/>
    <row r="68" customFormat="1" ht="15" customHeight="1"/>
    <row r="69" customFormat="1" ht="15" customHeight="1"/>
    <row r="70" customFormat="1" ht="15" customHeight="1"/>
    <row r="71" customFormat="1" ht="15" customHeight="1"/>
    <row r="72" customFormat="1" ht="15" customHeight="1"/>
    <row r="73" customFormat="1" ht="15" customHeight="1"/>
    <row r="74" customFormat="1" ht="15" customHeight="1"/>
    <row r="75" customFormat="1" ht="15" customHeight="1"/>
    <row r="76" customFormat="1" ht="15" customHeight="1"/>
    <row r="77" customFormat="1" ht="15" customHeight="1"/>
    <row r="78" customFormat="1" ht="15" customHeight="1"/>
    <row r="79" customFormat="1" ht="15" customHeight="1"/>
    <row r="80" customFormat="1" ht="15" customHeight="1"/>
    <row r="81" customFormat="1" ht="15" customHeight="1"/>
    <row r="82" customFormat="1" ht="15" customHeight="1"/>
    <row r="83" customFormat="1" ht="15" customHeight="1"/>
    <row r="84" customFormat="1" ht="15" customHeight="1"/>
    <row r="85" customFormat="1" ht="15" customHeight="1"/>
    <row r="86" customFormat="1" ht="15" customHeight="1"/>
    <row r="87" customFormat="1" ht="15" customHeight="1"/>
    <row r="88" customFormat="1" ht="15" customHeight="1"/>
    <row r="89" customFormat="1" ht="15" customHeight="1"/>
    <row r="90" customFormat="1" ht="15" customHeight="1"/>
    <row r="91" customFormat="1" ht="15" customHeight="1"/>
    <row r="110" ht="18" customHeight="1"/>
    <row r="113" ht="16.5" customHeight="1"/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learALL">
                <anchor moveWithCells="1" sizeWithCells="1">
                  <from>
                    <xdr:col>13</xdr:col>
                    <xdr:colOff>666750</xdr:colOff>
                    <xdr:row>6</xdr:row>
                    <xdr:rowOff>9525</xdr:rowOff>
                  </from>
                  <to>
                    <xdr:col>15</xdr:col>
                    <xdr:colOff>428625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AllCalculate">
                <anchor moveWithCells="1" sizeWithCells="1">
                  <from>
                    <xdr:col>13</xdr:col>
                    <xdr:colOff>666750</xdr:colOff>
                    <xdr:row>1</xdr:row>
                    <xdr:rowOff>133350</xdr:rowOff>
                  </from>
                  <to>
                    <xdr:col>15</xdr:col>
                    <xdr:colOff>428625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4" tint="0.59999389629810485"/>
  </sheetPr>
  <dimension ref="A1:T201"/>
  <sheetViews>
    <sheetView showGridLines="0" view="pageBreakPreview" zoomScale="70" zoomScaleNormal="75" zoomScaleSheetLayoutView="70" workbookViewId="0">
      <selection activeCell="S2" sqref="S2"/>
    </sheetView>
  </sheetViews>
  <sheetFormatPr defaultRowHeight="18"/>
  <cols>
    <col min="1" max="1" width="5.7109375" customWidth="1"/>
    <col min="2" max="2" width="7.7109375" style="370" customWidth="1"/>
    <col min="3" max="3" width="6.7109375" style="370" customWidth="1"/>
    <col min="4" max="4" width="6.7109375" customWidth="1"/>
    <col min="5" max="10" width="5.7109375" customWidth="1"/>
    <col min="11" max="11" width="7.7109375" customWidth="1"/>
    <col min="12" max="12" width="21.7109375" customWidth="1"/>
    <col min="13" max="13" width="1.85546875" hidden="1" customWidth="1"/>
    <col min="16" max="16" width="8" customWidth="1"/>
    <col min="18" max="18" width="15.85546875" customWidth="1"/>
    <col min="19" max="19" width="32.28515625" customWidth="1"/>
    <col min="20" max="20" width="17.85546875" style="89" customWidth="1"/>
    <col min="21" max="21" width="29" customWidth="1"/>
  </cols>
  <sheetData>
    <row r="1" spans="1:20" ht="18.75">
      <c r="A1" s="449" t="str">
        <f>Material!A1</f>
        <v xml:space="preserve">تاریخ : </v>
      </c>
      <c r="B1" s="450"/>
      <c r="C1" s="450"/>
      <c r="D1" s="451"/>
      <c r="E1" s="371"/>
      <c r="F1" s="443"/>
      <c r="G1" s="443"/>
      <c r="H1" s="443"/>
      <c r="I1" s="444" t="str">
        <f>Material!E1</f>
        <v xml:space="preserve">نام پروژه : </v>
      </c>
      <c r="J1" s="444" t="str">
        <f>CONCATENATE(Data!$C$12,Data!$B$12)</f>
        <v/>
      </c>
      <c r="K1" s="444" t="str">
        <f>CONCATENATE(Data!$C$12,Data!$B$12)</f>
        <v/>
      </c>
      <c r="L1" s="445" t="str">
        <f>CONCATENATE(Data!$C$12,Data!$B$12)</f>
        <v/>
      </c>
      <c r="S1" s="76" t="s">
        <v>100</v>
      </c>
    </row>
    <row r="2" spans="1:20" ht="18.75" thickBot="1">
      <c r="A2" s="446"/>
      <c r="B2" s="447"/>
      <c r="C2" s="447"/>
      <c r="D2" s="371"/>
      <c r="E2" s="371"/>
      <c r="F2" s="448" t="s">
        <v>2</v>
      </c>
      <c r="G2" s="448"/>
      <c r="H2" s="448"/>
      <c r="I2" s="371"/>
      <c r="J2" s="371"/>
      <c r="K2" s="371"/>
      <c r="L2" s="372"/>
      <c r="S2" s="75"/>
    </row>
    <row r="3" spans="1:20" ht="15">
      <c r="A3" s="433"/>
      <c r="B3" s="434"/>
      <c r="C3" s="434"/>
      <c r="D3" s="435"/>
      <c r="E3" s="435"/>
      <c r="F3" s="435"/>
      <c r="G3" s="435"/>
      <c r="H3" s="435"/>
      <c r="I3" s="435"/>
      <c r="J3" s="435"/>
      <c r="K3" s="436"/>
      <c r="L3" s="441" t="s">
        <v>99</v>
      </c>
      <c r="T3" s="73"/>
    </row>
    <row r="4" spans="1:20" ht="15">
      <c r="A4" s="437"/>
      <c r="B4" s="438"/>
      <c r="C4" s="438"/>
      <c r="D4" s="439"/>
      <c r="E4" s="439"/>
      <c r="F4" s="439"/>
      <c r="G4" s="439"/>
      <c r="H4" s="439"/>
      <c r="I4" s="439"/>
      <c r="J4" s="439"/>
      <c r="K4" s="440"/>
      <c r="L4" s="442"/>
      <c r="T4" s="73"/>
    </row>
    <row r="5" spans="1:20" ht="20.25">
      <c r="A5" s="429"/>
      <c r="B5" s="430"/>
      <c r="C5" s="430"/>
      <c r="D5" s="431"/>
      <c r="E5" s="431"/>
      <c r="F5" s="431"/>
      <c r="G5" s="431"/>
      <c r="H5" s="431"/>
      <c r="I5" s="431"/>
      <c r="J5" s="431"/>
      <c r="K5" s="431"/>
      <c r="L5" s="432"/>
      <c r="T5" s="73"/>
    </row>
    <row r="6" spans="1:20" ht="18.75" thickBot="1">
      <c r="A6" s="413" t="s">
        <v>92</v>
      </c>
      <c r="B6" s="414"/>
      <c r="C6" s="414"/>
      <c r="D6" s="415"/>
      <c r="E6" s="415"/>
      <c r="F6" s="415"/>
      <c r="G6" s="415"/>
      <c r="H6" s="415"/>
      <c r="I6" s="415"/>
      <c r="J6" s="415"/>
      <c r="K6" s="415"/>
      <c r="L6" s="416"/>
      <c r="T6" s="73"/>
    </row>
    <row r="7" spans="1:20" ht="15">
      <c r="A7" s="417" t="s">
        <v>3</v>
      </c>
      <c r="B7" s="418"/>
      <c r="C7" s="418"/>
      <c r="D7" s="419"/>
      <c r="E7" s="419"/>
      <c r="F7" s="419"/>
      <c r="G7" s="419"/>
      <c r="H7" s="419"/>
      <c r="I7" s="419"/>
      <c r="J7" s="419"/>
      <c r="K7" s="419"/>
      <c r="L7" s="420"/>
      <c r="T7" s="73"/>
    </row>
    <row r="8" spans="1:20" ht="15">
      <c r="A8" s="421"/>
      <c r="B8" s="422"/>
      <c r="C8" s="422"/>
      <c r="D8" s="423"/>
      <c r="E8" s="423"/>
      <c r="F8" s="423"/>
      <c r="G8" s="423"/>
      <c r="H8" s="423"/>
      <c r="I8" s="423"/>
      <c r="J8" s="423"/>
      <c r="K8" s="423"/>
      <c r="L8" s="424"/>
      <c r="T8" s="73"/>
    </row>
    <row r="9" spans="1:20" ht="23.1" customHeight="1">
      <c r="A9" s="406"/>
      <c r="B9" s="428" t="s">
        <v>5</v>
      </c>
      <c r="C9" s="427" t="s">
        <v>6</v>
      </c>
      <c r="D9" s="425" t="s">
        <v>7</v>
      </c>
      <c r="E9" s="369" t="s">
        <v>5</v>
      </c>
      <c r="F9" s="369" t="s">
        <v>6</v>
      </c>
      <c r="G9" s="369" t="s">
        <v>5</v>
      </c>
      <c r="H9" s="369" t="s">
        <v>6</v>
      </c>
      <c r="I9" s="369" t="s">
        <v>11</v>
      </c>
      <c r="J9" s="369" t="s">
        <v>6</v>
      </c>
      <c r="K9" s="425" t="s">
        <v>9</v>
      </c>
      <c r="L9" s="426" t="s">
        <v>10</v>
      </c>
    </row>
    <row r="10" spans="1:20" ht="23.1" customHeight="1">
      <c r="A10" s="407"/>
      <c r="B10" s="428"/>
      <c r="C10" s="427"/>
      <c r="D10" s="425"/>
      <c r="E10" s="425" t="s">
        <v>8</v>
      </c>
      <c r="F10" s="425"/>
      <c r="G10" s="425" t="s">
        <v>1</v>
      </c>
      <c r="H10" s="425"/>
      <c r="I10" s="425" t="s">
        <v>0</v>
      </c>
      <c r="J10" s="425"/>
      <c r="K10" s="425"/>
      <c r="L10" s="426"/>
      <c r="M10" t="s">
        <v>100</v>
      </c>
    </row>
    <row r="11" spans="1:20" ht="23.1" customHeight="1">
      <c r="B11"/>
      <c r="C11"/>
    </row>
    <row r="12" spans="1:20" ht="23.1" customHeight="1">
      <c r="B12"/>
      <c r="C12"/>
    </row>
    <row r="13" spans="1:20" ht="23.1" customHeight="1">
      <c r="B13"/>
      <c r="C13"/>
    </row>
    <row r="14" spans="1:20" ht="23.1" customHeight="1">
      <c r="B14"/>
      <c r="C14"/>
    </row>
    <row r="15" spans="1:20" ht="23.1" customHeight="1">
      <c r="B15"/>
      <c r="C15"/>
    </row>
    <row r="16" spans="1:20" ht="23.1" customHeight="1">
      <c r="B16"/>
      <c r="C16"/>
    </row>
    <row r="17" spans="2:3" ht="23.1" customHeight="1">
      <c r="B17"/>
      <c r="C17"/>
    </row>
    <row r="18" spans="2:3" ht="23.1" customHeight="1">
      <c r="B18"/>
      <c r="C18"/>
    </row>
    <row r="19" spans="2:3" ht="23.1" customHeight="1">
      <c r="B19"/>
      <c r="C19"/>
    </row>
    <row r="20" spans="2:3" ht="23.1" customHeight="1">
      <c r="B20"/>
      <c r="C20"/>
    </row>
    <row r="21" spans="2:3" ht="23.1" customHeight="1">
      <c r="B21"/>
      <c r="C21"/>
    </row>
    <row r="22" spans="2:3" ht="23.1" customHeight="1">
      <c r="B22"/>
      <c r="C22"/>
    </row>
    <row r="23" spans="2:3" ht="23.1" customHeight="1">
      <c r="B23"/>
      <c r="C23"/>
    </row>
    <row r="24" spans="2:3" ht="23.1" customHeight="1">
      <c r="B24"/>
      <c r="C24"/>
    </row>
    <row r="25" spans="2:3" ht="23.1" customHeight="1">
      <c r="B25"/>
      <c r="C25"/>
    </row>
    <row r="26" spans="2:3" ht="23.1" customHeight="1">
      <c r="B26"/>
      <c r="C26"/>
    </row>
    <row r="27" spans="2:3" ht="23.1" customHeight="1">
      <c r="B27"/>
      <c r="C27"/>
    </row>
    <row r="28" spans="2:3" ht="23.1" customHeight="1">
      <c r="B28"/>
      <c r="C28"/>
    </row>
    <row r="29" spans="2:3" ht="23.1" customHeight="1">
      <c r="B29"/>
      <c r="C29"/>
    </row>
    <row r="30" spans="2:3" ht="23.1" customHeight="1">
      <c r="B30"/>
      <c r="C30"/>
    </row>
    <row r="31" spans="2:3" ht="23.1" customHeight="1">
      <c r="B31"/>
      <c r="C31"/>
    </row>
    <row r="32" spans="2:3" ht="23.1" customHeight="1">
      <c r="B32"/>
      <c r="C32"/>
    </row>
    <row r="33" spans="2:3" ht="23.1" customHeight="1">
      <c r="B33"/>
      <c r="C33"/>
    </row>
    <row r="34" spans="2:3" ht="23.1" customHeight="1">
      <c r="B34"/>
      <c r="C34"/>
    </row>
    <row r="35" spans="2:3" ht="23.1" customHeight="1">
      <c r="B35"/>
      <c r="C35"/>
    </row>
    <row r="36" spans="2:3" ht="23.1" customHeight="1">
      <c r="B36"/>
      <c r="C36"/>
    </row>
    <row r="37" spans="2:3" ht="23.1" customHeight="1">
      <c r="B37"/>
      <c r="C37"/>
    </row>
    <row r="38" spans="2:3" ht="23.1" customHeight="1">
      <c r="B38"/>
      <c r="C38"/>
    </row>
    <row r="39" spans="2:3" ht="23.1" customHeight="1">
      <c r="B39"/>
      <c r="C39"/>
    </row>
    <row r="40" spans="2:3" ht="23.1" customHeight="1">
      <c r="B40"/>
      <c r="C40"/>
    </row>
    <row r="41" spans="2:3" ht="23.1" customHeight="1">
      <c r="B41"/>
      <c r="C41"/>
    </row>
    <row r="42" spans="2:3" ht="23.1" customHeight="1">
      <c r="B42"/>
      <c r="C42"/>
    </row>
    <row r="43" spans="2:3" ht="23.1" customHeight="1">
      <c r="B43"/>
      <c r="C43"/>
    </row>
    <row r="44" spans="2:3" ht="23.1" customHeight="1">
      <c r="B44"/>
      <c r="C44"/>
    </row>
    <row r="45" spans="2:3" ht="23.1" customHeight="1">
      <c r="B45"/>
      <c r="C45"/>
    </row>
    <row r="46" spans="2:3" ht="23.1" customHeight="1">
      <c r="B46"/>
      <c r="C46"/>
    </row>
    <row r="47" spans="2:3" ht="23.1" customHeight="1">
      <c r="B47"/>
      <c r="C47"/>
    </row>
    <row r="48" spans="2:3" ht="23.1" customHeight="1">
      <c r="B48"/>
      <c r="C48"/>
    </row>
    <row r="49" spans="2:3" ht="23.1" customHeight="1">
      <c r="B49"/>
      <c r="C49"/>
    </row>
    <row r="50" spans="2:3" ht="23.1" customHeight="1">
      <c r="B50"/>
      <c r="C50"/>
    </row>
    <row r="51" spans="2:3" ht="23.1" customHeight="1">
      <c r="B51"/>
      <c r="C51"/>
    </row>
    <row r="52" spans="2:3" ht="23.1" customHeight="1">
      <c r="B52"/>
      <c r="C52"/>
    </row>
    <row r="53" spans="2:3" ht="23.1" customHeight="1">
      <c r="B53" s="408"/>
      <c r="C53" s="408"/>
    </row>
    <row r="54" spans="2:3" ht="23.1" customHeight="1">
      <c r="B54" s="408"/>
      <c r="C54" s="408"/>
    </row>
    <row r="55" spans="2:3" ht="23.1" customHeight="1">
      <c r="B55" s="408"/>
      <c r="C55" s="408"/>
    </row>
    <row r="56" spans="2:3" ht="23.1" customHeight="1">
      <c r="B56" s="408"/>
      <c r="C56" s="408"/>
    </row>
    <row r="57" spans="2:3" ht="23.1" customHeight="1">
      <c r="B57" s="408"/>
      <c r="C57" s="408"/>
    </row>
    <row r="58" spans="2:3" ht="23.1" customHeight="1">
      <c r="B58" s="408"/>
      <c r="C58" s="408"/>
    </row>
    <row r="59" spans="2:3" ht="23.1" customHeight="1">
      <c r="B59" s="408"/>
      <c r="C59" s="408"/>
    </row>
    <row r="60" spans="2:3" ht="23.1" customHeight="1">
      <c r="B60" s="408"/>
      <c r="C60" s="408"/>
    </row>
    <row r="61" spans="2:3" ht="23.1" customHeight="1">
      <c r="B61" s="408"/>
      <c r="C61" s="408"/>
    </row>
    <row r="62" spans="2:3" ht="23.1" customHeight="1">
      <c r="B62" s="408"/>
      <c r="C62" s="408"/>
    </row>
    <row r="63" spans="2:3" ht="23.1" customHeight="1">
      <c r="B63" s="408"/>
      <c r="C63" s="408"/>
    </row>
    <row r="64" spans="2:3" ht="23.1" customHeight="1">
      <c r="B64" s="408"/>
      <c r="C64" s="408"/>
    </row>
    <row r="65" spans="2:3" ht="23.1" customHeight="1">
      <c r="B65" s="408"/>
      <c r="C65" s="408"/>
    </row>
    <row r="66" spans="2:3" ht="23.1" customHeight="1">
      <c r="B66" s="408"/>
      <c r="C66" s="408"/>
    </row>
    <row r="67" spans="2:3" ht="23.1" customHeight="1">
      <c r="B67" s="408"/>
      <c r="C67" s="408"/>
    </row>
    <row r="68" spans="2:3" ht="23.1" customHeight="1">
      <c r="B68" s="408"/>
      <c r="C68" s="408"/>
    </row>
    <row r="69" spans="2:3" ht="23.1" customHeight="1">
      <c r="B69" s="408"/>
      <c r="C69" s="408"/>
    </row>
    <row r="70" spans="2:3" ht="23.1" customHeight="1">
      <c r="B70" s="408"/>
      <c r="C70" s="408"/>
    </row>
    <row r="71" spans="2:3" ht="23.1" customHeight="1">
      <c r="B71" s="408"/>
      <c r="C71" s="408"/>
    </row>
    <row r="72" spans="2:3" ht="23.1" customHeight="1">
      <c r="B72" s="408"/>
      <c r="C72" s="408"/>
    </row>
    <row r="73" spans="2:3" ht="23.1" customHeight="1">
      <c r="B73" s="408"/>
      <c r="C73" s="408"/>
    </row>
    <row r="74" spans="2:3" ht="23.1" customHeight="1">
      <c r="B74" s="408"/>
      <c r="C74" s="408"/>
    </row>
    <row r="75" spans="2:3" ht="23.1" customHeight="1">
      <c r="B75" s="408"/>
      <c r="C75" s="408"/>
    </row>
    <row r="76" spans="2:3" ht="23.1" customHeight="1">
      <c r="B76" s="408"/>
      <c r="C76" s="408"/>
    </row>
    <row r="77" spans="2:3" ht="23.1" customHeight="1">
      <c r="B77" s="408"/>
      <c r="C77" s="408"/>
    </row>
    <row r="78" spans="2:3" ht="23.1" customHeight="1">
      <c r="B78" s="408"/>
      <c r="C78" s="408"/>
    </row>
    <row r="79" spans="2:3" ht="23.1" customHeight="1">
      <c r="B79" s="408"/>
      <c r="C79" s="408"/>
    </row>
    <row r="80" spans="2:3" ht="23.1" customHeight="1">
      <c r="B80" s="408"/>
      <c r="C80" s="408"/>
    </row>
    <row r="81" spans="2:3" ht="23.1" customHeight="1">
      <c r="B81" s="408"/>
      <c r="C81" s="408"/>
    </row>
    <row r="82" spans="2:3" ht="23.1" customHeight="1">
      <c r="B82" s="408"/>
      <c r="C82" s="408"/>
    </row>
    <row r="83" spans="2:3" ht="23.1" customHeight="1">
      <c r="B83" s="408"/>
      <c r="C83" s="408"/>
    </row>
    <row r="84" spans="2:3" ht="23.1" customHeight="1">
      <c r="B84" s="408"/>
      <c r="C84" s="408"/>
    </row>
    <row r="85" spans="2:3" ht="23.1" customHeight="1">
      <c r="B85" s="408"/>
      <c r="C85" s="408"/>
    </row>
    <row r="86" spans="2:3" ht="23.1" customHeight="1">
      <c r="B86" s="408"/>
      <c r="C86" s="408"/>
    </row>
    <row r="87" spans="2:3" ht="23.1" customHeight="1">
      <c r="B87" s="408"/>
      <c r="C87" s="408"/>
    </row>
    <row r="88" spans="2:3" ht="23.1" customHeight="1">
      <c r="B88" s="408"/>
      <c r="C88" s="408"/>
    </row>
    <row r="89" spans="2:3" ht="23.1" customHeight="1">
      <c r="B89" s="408"/>
      <c r="C89" s="408"/>
    </row>
    <row r="90" spans="2:3" ht="23.1" customHeight="1">
      <c r="B90" s="408"/>
      <c r="C90" s="408"/>
    </row>
    <row r="91" spans="2:3" ht="23.1" customHeight="1">
      <c r="B91" s="408"/>
      <c r="C91" s="408"/>
    </row>
    <row r="92" spans="2:3" ht="23.1" customHeight="1">
      <c r="B92" s="408"/>
      <c r="C92" s="408"/>
    </row>
    <row r="93" spans="2:3" ht="23.1" customHeight="1">
      <c r="B93" s="408"/>
      <c r="C93" s="408"/>
    </row>
    <row r="94" spans="2:3" ht="23.1" customHeight="1">
      <c r="B94" s="408"/>
      <c r="C94" s="408"/>
    </row>
    <row r="95" spans="2:3" ht="23.1" customHeight="1">
      <c r="B95" s="408"/>
      <c r="C95" s="408"/>
    </row>
    <row r="96" spans="2:3" ht="23.1" customHeight="1">
      <c r="B96" s="408"/>
      <c r="C96" s="408"/>
    </row>
    <row r="97" spans="2:3" ht="23.1" customHeight="1">
      <c r="B97" s="408"/>
      <c r="C97" s="408"/>
    </row>
    <row r="98" spans="2:3" ht="23.1" customHeight="1">
      <c r="B98" s="408"/>
      <c r="C98" s="408"/>
    </row>
    <row r="99" spans="2:3" ht="23.1" customHeight="1">
      <c r="B99" s="408"/>
      <c r="C99" s="408"/>
    </row>
    <row r="100" spans="2:3" ht="23.1" customHeight="1">
      <c r="B100" s="408"/>
      <c r="C100" s="408"/>
    </row>
    <row r="101" spans="2:3" ht="23.1" customHeight="1">
      <c r="B101" s="408"/>
      <c r="C101" s="408"/>
    </row>
    <row r="102" spans="2:3" ht="23.1" customHeight="1">
      <c r="B102" s="408"/>
      <c r="C102" s="408"/>
    </row>
    <row r="103" spans="2:3" ht="23.1" customHeight="1">
      <c r="B103" s="408"/>
      <c r="C103" s="408"/>
    </row>
    <row r="104" spans="2:3" ht="23.1" customHeight="1">
      <c r="B104" s="408"/>
      <c r="C104" s="408"/>
    </row>
    <row r="105" spans="2:3" ht="23.1" customHeight="1">
      <c r="B105" s="408"/>
      <c r="C105" s="408"/>
    </row>
    <row r="106" spans="2:3" ht="23.1" customHeight="1">
      <c r="B106" s="408"/>
      <c r="C106" s="408"/>
    </row>
    <row r="107" spans="2:3" ht="23.1" customHeight="1">
      <c r="B107" s="408"/>
      <c r="C107" s="408"/>
    </row>
    <row r="108" spans="2:3" ht="23.1" customHeight="1">
      <c r="B108" s="408"/>
      <c r="C108" s="408"/>
    </row>
    <row r="109" spans="2:3" ht="23.1" customHeight="1">
      <c r="B109" s="408"/>
      <c r="C109" s="408"/>
    </row>
    <row r="110" spans="2:3" ht="23.1" customHeight="1">
      <c r="B110" s="408"/>
      <c r="C110" s="408"/>
    </row>
    <row r="111" spans="2:3" ht="23.1" customHeight="1">
      <c r="B111" s="408"/>
      <c r="C111" s="408"/>
    </row>
    <row r="112" spans="2:3" ht="23.1" customHeight="1">
      <c r="B112" s="408"/>
      <c r="C112" s="408"/>
    </row>
    <row r="113" spans="2:3" ht="23.1" customHeight="1">
      <c r="B113" s="408"/>
      <c r="C113" s="408"/>
    </row>
    <row r="114" spans="2:3" ht="23.1" customHeight="1">
      <c r="B114" s="408"/>
      <c r="C114" s="408"/>
    </row>
    <row r="115" spans="2:3" ht="23.1" customHeight="1">
      <c r="B115" s="408"/>
      <c r="C115" s="408"/>
    </row>
    <row r="116" spans="2:3" ht="23.1" customHeight="1">
      <c r="B116" s="408"/>
      <c r="C116" s="408"/>
    </row>
    <row r="117" spans="2:3" ht="23.1" customHeight="1">
      <c r="B117" s="408"/>
      <c r="C117" s="408"/>
    </row>
    <row r="118" spans="2:3" ht="23.1" customHeight="1">
      <c r="B118" s="408"/>
      <c r="C118" s="408"/>
    </row>
    <row r="119" spans="2:3" ht="23.1" customHeight="1">
      <c r="B119" s="408"/>
      <c r="C119" s="408"/>
    </row>
    <row r="120" spans="2:3" ht="23.1" customHeight="1">
      <c r="B120" s="408"/>
      <c r="C120" s="408"/>
    </row>
    <row r="121" spans="2:3" ht="23.1" customHeight="1">
      <c r="B121" s="408"/>
      <c r="C121" s="408"/>
    </row>
    <row r="122" spans="2:3" ht="23.1" customHeight="1">
      <c r="B122" s="408"/>
      <c r="C122" s="408"/>
    </row>
    <row r="123" spans="2:3" ht="23.1" customHeight="1">
      <c r="B123" s="408"/>
      <c r="C123" s="408"/>
    </row>
    <row r="124" spans="2:3" ht="23.1" customHeight="1">
      <c r="B124" s="408"/>
      <c r="C124" s="408"/>
    </row>
    <row r="125" spans="2:3" ht="23.1" customHeight="1">
      <c r="B125" s="408"/>
      <c r="C125" s="408"/>
    </row>
    <row r="126" spans="2:3" ht="23.1" customHeight="1">
      <c r="B126" s="408"/>
      <c r="C126" s="408"/>
    </row>
    <row r="127" spans="2:3" ht="23.1" customHeight="1">
      <c r="B127" s="408"/>
      <c r="C127" s="408"/>
    </row>
    <row r="128" spans="2:3" ht="23.1" customHeight="1">
      <c r="B128" s="408"/>
      <c r="C128" s="408"/>
    </row>
    <row r="129" spans="2:3" ht="23.1" customHeight="1">
      <c r="B129" s="408"/>
      <c r="C129" s="408"/>
    </row>
    <row r="130" spans="2:3" ht="23.1" customHeight="1">
      <c r="B130" s="408"/>
      <c r="C130" s="408"/>
    </row>
    <row r="131" spans="2:3" ht="23.1" customHeight="1">
      <c r="B131" s="408"/>
      <c r="C131" s="408"/>
    </row>
    <row r="132" spans="2:3">
      <c r="B132" s="408"/>
      <c r="C132" s="408"/>
    </row>
    <row r="133" spans="2:3">
      <c r="B133" s="408"/>
      <c r="C133" s="408"/>
    </row>
    <row r="134" spans="2:3">
      <c r="B134" s="408"/>
      <c r="C134" s="408"/>
    </row>
    <row r="135" spans="2:3">
      <c r="B135" s="408"/>
      <c r="C135" s="408"/>
    </row>
    <row r="136" spans="2:3">
      <c r="B136" s="408"/>
      <c r="C136" s="408"/>
    </row>
    <row r="137" spans="2:3">
      <c r="B137" s="408"/>
      <c r="C137" s="408"/>
    </row>
    <row r="138" spans="2:3">
      <c r="B138" s="408"/>
      <c r="C138" s="408"/>
    </row>
    <row r="139" spans="2:3">
      <c r="B139" s="408"/>
      <c r="C139" s="408"/>
    </row>
    <row r="140" spans="2:3">
      <c r="B140" s="408"/>
      <c r="C140" s="408"/>
    </row>
    <row r="141" spans="2:3">
      <c r="B141" s="408"/>
      <c r="C141" s="408"/>
    </row>
    <row r="142" spans="2:3">
      <c r="B142" s="408"/>
      <c r="C142" s="408"/>
    </row>
    <row r="143" spans="2:3">
      <c r="B143" s="408"/>
      <c r="C143" s="408"/>
    </row>
    <row r="144" spans="2:3">
      <c r="B144" s="408"/>
      <c r="C144" s="408"/>
    </row>
    <row r="145" spans="2:3">
      <c r="B145" s="408"/>
      <c r="C145" s="408"/>
    </row>
    <row r="146" spans="2:3">
      <c r="B146" s="408"/>
      <c r="C146" s="408"/>
    </row>
    <row r="147" spans="2:3">
      <c r="B147" s="408"/>
      <c r="C147" s="408"/>
    </row>
    <row r="148" spans="2:3">
      <c r="B148" s="408"/>
      <c r="C148" s="408"/>
    </row>
    <row r="149" spans="2:3">
      <c r="B149" s="408"/>
      <c r="C149" s="408"/>
    </row>
    <row r="150" spans="2:3">
      <c r="B150" s="408"/>
      <c r="C150" s="408"/>
    </row>
    <row r="151" spans="2:3">
      <c r="B151" s="408"/>
      <c r="C151" s="408"/>
    </row>
    <row r="152" spans="2:3">
      <c r="B152" s="408"/>
      <c r="C152" s="408"/>
    </row>
    <row r="153" spans="2:3">
      <c r="B153" s="408"/>
      <c r="C153" s="408"/>
    </row>
    <row r="154" spans="2:3">
      <c r="B154" s="408"/>
      <c r="C154" s="408"/>
    </row>
    <row r="155" spans="2:3">
      <c r="B155" s="408"/>
      <c r="C155" s="408"/>
    </row>
    <row r="156" spans="2:3">
      <c r="B156" s="408"/>
      <c r="C156" s="408"/>
    </row>
    <row r="157" spans="2:3">
      <c r="B157" s="408"/>
      <c r="C157" s="408"/>
    </row>
    <row r="158" spans="2:3">
      <c r="B158" s="408"/>
      <c r="C158" s="408"/>
    </row>
    <row r="159" spans="2:3">
      <c r="B159" s="408"/>
      <c r="C159" s="408"/>
    </row>
    <row r="160" spans="2:3">
      <c r="B160" s="408"/>
      <c r="C160" s="408"/>
    </row>
    <row r="161" spans="2:3">
      <c r="B161" s="408"/>
      <c r="C161" s="408"/>
    </row>
    <row r="162" spans="2:3">
      <c r="B162" s="408"/>
      <c r="C162" s="408"/>
    </row>
    <row r="163" spans="2:3">
      <c r="B163" s="408"/>
      <c r="C163" s="408"/>
    </row>
    <row r="164" spans="2:3">
      <c r="B164" s="408"/>
      <c r="C164" s="408"/>
    </row>
    <row r="165" spans="2:3">
      <c r="B165" s="408"/>
      <c r="C165" s="408"/>
    </row>
    <row r="166" spans="2:3">
      <c r="B166" s="408"/>
      <c r="C166" s="408"/>
    </row>
    <row r="167" spans="2:3">
      <c r="B167" s="408"/>
      <c r="C167" s="408"/>
    </row>
    <row r="168" spans="2:3">
      <c r="B168" s="408"/>
      <c r="C168" s="408"/>
    </row>
    <row r="169" spans="2:3">
      <c r="B169" s="408"/>
      <c r="C169" s="408"/>
    </row>
    <row r="170" spans="2:3">
      <c r="B170" s="408"/>
      <c r="C170" s="408"/>
    </row>
    <row r="171" spans="2:3">
      <c r="B171" s="408"/>
      <c r="C171" s="408"/>
    </row>
    <row r="172" spans="2:3">
      <c r="B172" s="408"/>
      <c r="C172" s="408"/>
    </row>
    <row r="173" spans="2:3">
      <c r="B173" s="408"/>
      <c r="C173" s="408"/>
    </row>
    <row r="174" spans="2:3">
      <c r="B174" s="408"/>
      <c r="C174" s="408"/>
    </row>
    <row r="175" spans="2:3">
      <c r="B175" s="408"/>
      <c r="C175" s="408"/>
    </row>
    <row r="176" spans="2:3">
      <c r="B176" s="408"/>
      <c r="C176" s="408"/>
    </row>
    <row r="177" spans="2:3">
      <c r="B177" s="408"/>
      <c r="C177" s="408"/>
    </row>
    <row r="178" spans="2:3">
      <c r="B178" s="408"/>
      <c r="C178" s="408"/>
    </row>
    <row r="179" spans="2:3">
      <c r="B179" s="408"/>
      <c r="C179" s="408"/>
    </row>
    <row r="180" spans="2:3">
      <c r="B180" s="408"/>
      <c r="C180" s="408"/>
    </row>
    <row r="181" spans="2:3">
      <c r="B181" s="408"/>
      <c r="C181" s="408"/>
    </row>
    <row r="182" spans="2:3">
      <c r="B182" s="408"/>
      <c r="C182" s="408"/>
    </row>
    <row r="183" spans="2:3">
      <c r="B183" s="408"/>
      <c r="C183" s="408"/>
    </row>
    <row r="184" spans="2:3">
      <c r="B184" s="408"/>
      <c r="C184" s="408"/>
    </row>
    <row r="185" spans="2:3">
      <c r="B185" s="408"/>
      <c r="C185" s="408"/>
    </row>
    <row r="186" spans="2:3">
      <c r="B186" s="408"/>
      <c r="C186" s="408"/>
    </row>
    <row r="187" spans="2:3">
      <c r="B187" s="408"/>
      <c r="C187" s="408"/>
    </row>
    <row r="188" spans="2:3">
      <c r="B188" s="408"/>
      <c r="C188" s="408"/>
    </row>
    <row r="189" spans="2:3">
      <c r="B189" s="408"/>
      <c r="C189" s="408"/>
    </row>
    <row r="190" spans="2:3">
      <c r="B190" s="408"/>
      <c r="C190" s="408"/>
    </row>
    <row r="191" spans="2:3">
      <c r="B191" s="408"/>
      <c r="C191" s="408"/>
    </row>
    <row r="192" spans="2:3">
      <c r="B192" s="408"/>
      <c r="C192" s="408"/>
    </row>
    <row r="193" spans="2:15">
      <c r="B193" s="408"/>
      <c r="C193" s="408"/>
    </row>
    <row r="194" spans="2:15">
      <c r="B194" s="408"/>
      <c r="C194" s="408"/>
    </row>
    <row r="195" spans="2:15">
      <c r="B195" s="408"/>
      <c r="C195" s="408"/>
    </row>
    <row r="196" spans="2:15">
      <c r="B196" s="408"/>
      <c r="C196" s="408"/>
    </row>
    <row r="197" spans="2:15">
      <c r="B197" s="408"/>
      <c r="C197" s="408"/>
    </row>
    <row r="198" spans="2:15">
      <c r="B198" s="408"/>
      <c r="C198" s="408"/>
    </row>
    <row r="199" spans="2:15">
      <c r="B199" s="408"/>
      <c r="C199" s="408"/>
    </row>
    <row r="200" spans="2:15">
      <c r="B200" s="408"/>
      <c r="C200" s="408"/>
    </row>
    <row r="201" spans="2:15">
      <c r="B201" s="408"/>
      <c r="C201" s="408"/>
      <c r="O201" s="370"/>
    </row>
  </sheetData>
  <mergeCells count="18">
    <mergeCell ref="A5:L5"/>
    <mergeCell ref="A3:K4"/>
    <mergeCell ref="L3:L4"/>
    <mergeCell ref="F1:H1"/>
    <mergeCell ref="I1:L1"/>
    <mergeCell ref="A2:C2"/>
    <mergeCell ref="F2:H2"/>
    <mergeCell ref="A1:D1"/>
    <mergeCell ref="A6:L6"/>
    <mergeCell ref="A7:L8"/>
    <mergeCell ref="E10:F10"/>
    <mergeCell ref="G10:H10"/>
    <mergeCell ref="I10:J10"/>
    <mergeCell ref="L9:L10"/>
    <mergeCell ref="K9:K10"/>
    <mergeCell ref="D9:D10"/>
    <mergeCell ref="C9:C10"/>
    <mergeCell ref="B9:B10"/>
  </mergeCells>
  <pageMargins left="0.3" right="0.3" top="0.5" bottom="1" header="0.3" footer="0.3"/>
  <pageSetup paperSize="9" orientation="portrait" r:id="rId1"/>
  <headerFooter>
    <oddHeader>&amp;C&amp;"-,Bold"&amp;14&amp;P</oddHeader>
    <oddFooter>&amp;C
&amp;G&amp;R&amp;G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5" name="Button 1">
              <controlPr defaultSize="0" print="0" autoFill="0" autoPict="0" macro="[0]!CopyP1">
                <anchor moveWithCells="1" sizeWithCells="1">
                  <from>
                    <xdr:col>14</xdr:col>
                    <xdr:colOff>104775</xdr:colOff>
                    <xdr:row>2</xdr:row>
                    <xdr:rowOff>0</xdr:rowOff>
                  </from>
                  <to>
                    <xdr:col>16</xdr:col>
                    <xdr:colOff>161925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6" name="Button 2">
              <controlPr defaultSize="0" print="0" autoFill="0" autoPict="0" macro="[0]!ClearP1">
                <anchor moveWithCells="1" sizeWithCells="1">
                  <from>
                    <xdr:col>14</xdr:col>
                    <xdr:colOff>95250</xdr:colOff>
                    <xdr:row>5</xdr:row>
                    <xdr:rowOff>152400</xdr:rowOff>
                  </from>
                  <to>
                    <xdr:col>16</xdr:col>
                    <xdr:colOff>161925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7" name="Button 3">
              <controlPr defaultSize="0" print="0" autoFill="0" autoPict="0" macro="[0]!FilterMaterial">
                <anchor moveWithCells="1" sizeWithCells="1">
                  <from>
                    <xdr:col>16</xdr:col>
                    <xdr:colOff>219075</xdr:colOff>
                    <xdr:row>1</xdr:row>
                    <xdr:rowOff>409575</xdr:rowOff>
                  </from>
                  <to>
                    <xdr:col>17</xdr:col>
                    <xdr:colOff>819150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8" name="Button 4">
              <controlPr defaultSize="0" print="0" autoFill="0" autoPict="0" macro="[0]!RemoveFilterMaterial">
                <anchor moveWithCells="1" sizeWithCells="1">
                  <from>
                    <xdr:col>16</xdr:col>
                    <xdr:colOff>219075</xdr:colOff>
                    <xdr:row>5</xdr:row>
                    <xdr:rowOff>152400</xdr:rowOff>
                  </from>
                  <to>
                    <xdr:col>17</xdr:col>
                    <xdr:colOff>819150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All!$AA$4:$AA$25</xm:f>
          </x14:formula1>
          <xm:sqref>S2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AZ76"/>
  <sheetViews>
    <sheetView view="pageBreakPreview" zoomScale="115" zoomScaleNormal="130" zoomScaleSheetLayoutView="115" workbookViewId="0">
      <selection activeCell="A8" sqref="A8"/>
    </sheetView>
  </sheetViews>
  <sheetFormatPr defaultColWidth="17.42578125" defaultRowHeight="15"/>
  <cols>
    <col min="1" max="1" width="17.7109375" style="1" customWidth="1"/>
    <col min="2" max="2" width="13.7109375" style="1" customWidth="1"/>
    <col min="3" max="6" width="6.7109375" style="1" customWidth="1"/>
    <col min="7" max="7" width="5.7109375" style="1" customWidth="1"/>
    <col min="8" max="8" width="0.140625" style="1" hidden="1" customWidth="1"/>
    <col min="9" max="9" width="25.7109375" style="6" customWidth="1"/>
    <col min="10" max="10" width="3.7109375" style="1" customWidth="1"/>
    <col min="11" max="11" width="3.42578125" style="1" customWidth="1"/>
    <col min="12" max="12" width="5.42578125" style="1" customWidth="1"/>
    <col min="13" max="13" width="17" style="1" customWidth="1"/>
    <col min="14" max="18" width="5.42578125" style="1" customWidth="1"/>
    <col min="19" max="19" width="16.5703125" style="1" customWidth="1"/>
    <col min="20" max="20" width="18.5703125" style="1" customWidth="1"/>
    <col min="21" max="21" width="5.42578125" style="1" customWidth="1"/>
    <col min="22" max="22" width="8" style="1" customWidth="1"/>
    <col min="23" max="23" width="42.5703125" customWidth="1"/>
    <col min="24" max="24" width="12.42578125" style="103" customWidth="1"/>
    <col min="25" max="25" width="10.5703125" style="103" customWidth="1"/>
    <col min="26" max="26" width="18.42578125" style="103" customWidth="1"/>
    <col min="27" max="27" width="13.42578125" style="1" customWidth="1"/>
    <col min="28" max="28" width="20" style="1" bestFit="1" customWidth="1"/>
    <col min="29" max="29" width="15.42578125" style="1" bestFit="1" customWidth="1"/>
    <col min="30" max="30" width="19" style="1" bestFit="1" customWidth="1"/>
    <col min="31" max="31" width="5.42578125" style="1" customWidth="1"/>
    <col min="32" max="16384" width="17.42578125" style="1"/>
  </cols>
  <sheetData>
    <row r="1" spans="1:52" ht="20.25" customHeight="1" thickBot="1">
      <c r="A1" s="457" t="str">
        <f>CONCATENATE(Data!$D$3,Data!$C$3)</f>
        <v xml:space="preserve">تاریخ : </v>
      </c>
      <c r="B1" s="457"/>
      <c r="C1" s="179"/>
      <c r="D1" s="179"/>
      <c r="E1" s="458" t="str">
        <f>CONCATENATE(Data!$D$2,Data!$C$2)</f>
        <v xml:space="preserve">نام پروژه : </v>
      </c>
      <c r="F1" s="458"/>
      <c r="G1" s="458"/>
      <c r="H1" s="458"/>
      <c r="I1" s="458"/>
      <c r="J1" s="458"/>
      <c r="K1" s="27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95" t="s">
        <v>19</v>
      </c>
      <c r="X1" s="110" t="s">
        <v>89</v>
      </c>
      <c r="Y1" s="110" t="s">
        <v>90</v>
      </c>
      <c r="Z1" s="96" t="s">
        <v>88</v>
      </c>
    </row>
    <row r="2" spans="1:52" ht="20.25" customHeight="1">
      <c r="A2" s="457" t="s">
        <v>53</v>
      </c>
      <c r="B2" s="457"/>
      <c r="C2" s="457"/>
      <c r="D2" s="457"/>
      <c r="E2" s="457"/>
      <c r="F2" s="457"/>
      <c r="G2" s="457"/>
      <c r="H2" s="457"/>
      <c r="I2" s="457"/>
      <c r="J2" s="457"/>
      <c r="L2" s="18"/>
      <c r="M2"/>
      <c r="N2"/>
      <c r="O2"/>
      <c r="P2"/>
      <c r="Q2"/>
      <c r="R2"/>
      <c r="S2"/>
      <c r="T2"/>
      <c r="U2"/>
      <c r="V2"/>
      <c r="W2" s="97" t="s">
        <v>102</v>
      </c>
      <c r="X2" s="108">
        <v>6.1</v>
      </c>
      <c r="Y2" s="108">
        <v>95</v>
      </c>
      <c r="Z2" s="109">
        <v>22000000</v>
      </c>
      <c r="AB2"/>
      <c r="AC2"/>
      <c r="AD2"/>
      <c r="AZ2"/>
    </row>
    <row r="3" spans="1:52" ht="20.25">
      <c r="A3" s="7" t="s">
        <v>60</v>
      </c>
      <c r="B3" s="17"/>
      <c r="C3" s="13"/>
      <c r="D3" s="13"/>
      <c r="E3" s="13"/>
      <c r="F3" s="13"/>
      <c r="G3" s="13"/>
      <c r="H3" s="13"/>
      <c r="I3" s="69"/>
      <c r="J3" s="2"/>
      <c r="L3" s="18"/>
      <c r="M3"/>
      <c r="N3"/>
      <c r="O3"/>
      <c r="P3"/>
      <c r="Q3"/>
      <c r="R3"/>
      <c r="S3"/>
      <c r="T3"/>
      <c r="U3"/>
      <c r="V3"/>
      <c r="W3" s="98" t="s">
        <v>118</v>
      </c>
      <c r="X3" s="104">
        <v>3.4</v>
      </c>
      <c r="Y3" s="104">
        <v>65</v>
      </c>
      <c r="Z3" s="105">
        <v>9000000</v>
      </c>
      <c r="AB3"/>
      <c r="AC3"/>
      <c r="AD3"/>
      <c r="AZ3"/>
    </row>
    <row r="4" spans="1:52">
      <c r="A4" s="454"/>
      <c r="B4" s="454"/>
      <c r="C4" s="454"/>
      <c r="D4" s="454"/>
      <c r="E4" s="454"/>
      <c r="F4" s="454"/>
      <c r="G4" s="454"/>
      <c r="H4" s="454"/>
      <c r="I4" s="454"/>
      <c r="J4" s="454"/>
      <c r="L4" s="18"/>
      <c r="M4"/>
      <c r="N4"/>
      <c r="O4"/>
      <c r="P4"/>
      <c r="Q4"/>
      <c r="R4"/>
      <c r="S4"/>
      <c r="T4"/>
      <c r="U4"/>
      <c r="V4"/>
      <c r="W4" s="99" t="s">
        <v>110</v>
      </c>
      <c r="X4" s="104">
        <v>5</v>
      </c>
      <c r="Y4" s="104">
        <v>20</v>
      </c>
      <c r="Z4" s="105">
        <v>3500000</v>
      </c>
      <c r="AB4"/>
      <c r="AC4"/>
      <c r="AD4"/>
      <c r="AZ4"/>
    </row>
    <row r="5" spans="1:52" ht="15.75" thickBot="1">
      <c r="A5" s="454"/>
      <c r="B5" s="454"/>
      <c r="C5" s="454"/>
      <c r="D5" s="454"/>
      <c r="E5" s="454"/>
      <c r="F5" s="454"/>
      <c r="G5" s="454"/>
      <c r="H5" s="454"/>
      <c r="I5" s="454"/>
      <c r="J5" s="454"/>
      <c r="L5" s="18"/>
      <c r="M5"/>
      <c r="N5"/>
      <c r="O5"/>
      <c r="P5"/>
      <c r="Q5"/>
      <c r="R5"/>
      <c r="S5"/>
      <c r="T5"/>
      <c r="U5"/>
      <c r="V5"/>
      <c r="W5" s="98" t="s">
        <v>111</v>
      </c>
      <c r="X5" s="104">
        <v>3</v>
      </c>
      <c r="Y5" s="104">
        <v>45</v>
      </c>
      <c r="Z5" s="105">
        <v>17000000</v>
      </c>
      <c r="AB5"/>
      <c r="AC5"/>
      <c r="AD5"/>
      <c r="AZ5"/>
    </row>
    <row r="6" spans="1:52" ht="15.75" thickBot="1">
      <c r="A6" s="195" t="s">
        <v>12</v>
      </c>
      <c r="B6" s="196" t="s">
        <v>20</v>
      </c>
      <c r="C6" s="196" t="s">
        <v>63</v>
      </c>
      <c r="D6" s="197" t="s">
        <v>61</v>
      </c>
      <c r="E6" s="196" t="s">
        <v>62</v>
      </c>
      <c r="F6" s="197" t="s">
        <v>21</v>
      </c>
      <c r="G6" s="197" t="s">
        <v>7</v>
      </c>
      <c r="H6" s="455" t="s">
        <v>22</v>
      </c>
      <c r="I6" s="456"/>
      <c r="J6" s="198" t="s">
        <v>4</v>
      </c>
      <c r="L6" s="18"/>
      <c r="M6"/>
      <c r="N6"/>
      <c r="O6"/>
      <c r="P6"/>
      <c r="Q6"/>
      <c r="R6"/>
      <c r="S6"/>
      <c r="T6"/>
      <c r="U6"/>
      <c r="V6"/>
      <c r="W6" s="98" t="s">
        <v>112</v>
      </c>
      <c r="X6" s="104">
        <v>2.8</v>
      </c>
      <c r="Y6" s="104">
        <v>20</v>
      </c>
      <c r="Z6" s="105">
        <v>5500000</v>
      </c>
      <c r="AB6"/>
      <c r="AC6"/>
      <c r="AD6"/>
      <c r="AZ6"/>
    </row>
    <row r="7" spans="1:52">
      <c r="A7" s="208">
        <v>500000</v>
      </c>
      <c r="B7" s="410"/>
      <c r="C7" s="410"/>
      <c r="D7" s="246"/>
      <c r="E7" s="411"/>
      <c r="F7" s="246"/>
      <c r="G7" s="410"/>
      <c r="H7" s="410"/>
      <c r="I7" s="411"/>
      <c r="J7" s="200">
        <v>1</v>
      </c>
      <c r="L7" s="18"/>
      <c r="M7"/>
      <c r="N7"/>
      <c r="O7"/>
      <c r="P7"/>
      <c r="Q7"/>
      <c r="R7"/>
      <c r="S7"/>
      <c r="T7"/>
      <c r="U7"/>
      <c r="V7"/>
      <c r="W7" s="98" t="s">
        <v>108</v>
      </c>
      <c r="X7" s="104">
        <v>3</v>
      </c>
      <c r="Y7" s="104">
        <v>75</v>
      </c>
      <c r="Z7" s="105">
        <v>19000000</v>
      </c>
      <c r="AB7"/>
      <c r="AC7"/>
      <c r="AD7"/>
      <c r="AZ7"/>
    </row>
    <row r="8" spans="1:52">
      <c r="A8" s="208"/>
      <c r="B8" s="410"/>
      <c r="C8" s="410"/>
      <c r="D8" s="246"/>
      <c r="E8" s="411"/>
      <c r="F8" s="246"/>
      <c r="G8" s="410"/>
      <c r="H8" s="410"/>
      <c r="I8" s="411"/>
      <c r="J8" s="82">
        <v>2</v>
      </c>
      <c r="L8" s="18"/>
      <c r="M8"/>
      <c r="N8"/>
      <c r="O8"/>
      <c r="P8"/>
      <c r="Q8"/>
      <c r="R8"/>
      <c r="S8"/>
      <c r="T8"/>
      <c r="U8"/>
      <c r="V8"/>
      <c r="W8" s="98" t="s">
        <v>120</v>
      </c>
      <c r="X8" s="104">
        <v>6.1</v>
      </c>
      <c r="Y8" s="104">
        <v>95</v>
      </c>
      <c r="Z8" s="105">
        <v>14000000</v>
      </c>
      <c r="AB8"/>
      <c r="AC8"/>
      <c r="AD8"/>
      <c r="AZ8"/>
    </row>
    <row r="9" spans="1:52">
      <c r="A9" s="208"/>
      <c r="B9" s="410"/>
      <c r="C9" s="410"/>
      <c r="D9" s="246"/>
      <c r="E9" s="411"/>
      <c r="F9" s="246"/>
      <c r="G9" s="410"/>
      <c r="H9" s="411"/>
      <c r="I9" s="411"/>
      <c r="J9" s="153">
        <v>3</v>
      </c>
      <c r="L9" s="18"/>
      <c r="M9"/>
      <c r="N9"/>
      <c r="O9"/>
      <c r="P9"/>
      <c r="Q9"/>
      <c r="R9"/>
      <c r="S9"/>
      <c r="T9"/>
      <c r="U9"/>
      <c r="V9"/>
      <c r="W9" s="100" t="s">
        <v>121</v>
      </c>
      <c r="X9" s="104">
        <v>6.1</v>
      </c>
      <c r="Y9" s="104">
        <v>95</v>
      </c>
      <c r="Z9" s="105">
        <v>14000000</v>
      </c>
      <c r="AB9"/>
      <c r="AC9"/>
      <c r="AD9"/>
      <c r="AZ9"/>
    </row>
    <row r="10" spans="1:52" s="3" customFormat="1" ht="15.75">
      <c r="A10" s="208"/>
      <c r="B10" s="410"/>
      <c r="C10" s="410"/>
      <c r="D10" s="246"/>
      <c r="E10" s="411"/>
      <c r="F10" s="246"/>
      <c r="G10" s="410"/>
      <c r="H10" s="411"/>
      <c r="I10" s="411"/>
      <c r="J10" s="153">
        <v>4</v>
      </c>
      <c r="L10" s="19"/>
      <c r="M10"/>
      <c r="N10"/>
      <c r="O10"/>
      <c r="P10"/>
      <c r="Q10"/>
      <c r="R10"/>
      <c r="S10"/>
      <c r="T10"/>
      <c r="U10"/>
      <c r="V10"/>
      <c r="W10" s="100" t="s">
        <v>122</v>
      </c>
      <c r="X10" s="104">
        <v>6.1</v>
      </c>
      <c r="Y10" s="104">
        <v>95</v>
      </c>
      <c r="Z10" s="105">
        <v>14000000</v>
      </c>
      <c r="AB10"/>
      <c r="AC10"/>
      <c r="AD10"/>
      <c r="AZ10"/>
    </row>
    <row r="11" spans="1:52" s="3" customFormat="1" ht="15.75">
      <c r="A11" s="208"/>
      <c r="B11" s="410"/>
      <c r="C11" s="410"/>
      <c r="D11" s="246"/>
      <c r="E11" s="411"/>
      <c r="F11" s="246"/>
      <c r="G11" s="410"/>
      <c r="H11" s="411"/>
      <c r="I11" s="411"/>
      <c r="J11" s="153">
        <v>5</v>
      </c>
      <c r="L11" s="19"/>
      <c r="M11"/>
      <c r="N11"/>
      <c r="O11"/>
      <c r="P11"/>
      <c r="Q11"/>
      <c r="R11"/>
      <c r="S11"/>
      <c r="T11"/>
      <c r="U11"/>
      <c r="V11"/>
      <c r="W11" s="100" t="s">
        <v>123</v>
      </c>
      <c r="X11" s="104">
        <v>3</v>
      </c>
      <c r="Y11" s="104">
        <v>75</v>
      </c>
      <c r="Z11" s="105">
        <v>17000000</v>
      </c>
      <c r="AB11"/>
      <c r="AC11"/>
      <c r="AD11"/>
      <c r="AZ11"/>
    </row>
    <row r="12" spans="1:52">
      <c r="A12" s="208"/>
      <c r="B12" s="410"/>
      <c r="C12" s="410"/>
      <c r="D12" s="246"/>
      <c r="E12" s="411"/>
      <c r="F12" s="246"/>
      <c r="G12" s="410"/>
      <c r="H12" s="411"/>
      <c r="I12" s="411"/>
      <c r="J12" s="153">
        <v>6</v>
      </c>
      <c r="K12" s="70"/>
      <c r="L12" s="71"/>
      <c r="M12" s="72"/>
      <c r="N12" s="71"/>
      <c r="O12" s="62"/>
      <c r="P12" s="71"/>
      <c r="Q12" s="73"/>
      <c r="R12"/>
      <c r="S12"/>
      <c r="T12"/>
      <c r="U12"/>
      <c r="V12"/>
      <c r="W12" s="98" t="s">
        <v>105</v>
      </c>
      <c r="X12" s="104">
        <v>6.1</v>
      </c>
      <c r="Y12" s="104">
        <v>95</v>
      </c>
      <c r="Z12" s="105">
        <v>21000000</v>
      </c>
      <c r="AB12"/>
      <c r="AC12"/>
      <c r="AD12"/>
      <c r="AZ12"/>
    </row>
    <row r="13" spans="1:52">
      <c r="A13" s="208"/>
      <c r="B13" s="410"/>
      <c r="C13" s="410"/>
      <c r="D13" s="246"/>
      <c r="E13" s="411"/>
      <c r="F13" s="246"/>
      <c r="G13" s="410"/>
      <c r="H13" s="411"/>
      <c r="I13" s="411"/>
      <c r="J13" s="153">
        <v>7</v>
      </c>
      <c r="K13" s="70"/>
      <c r="L13" s="71"/>
      <c r="M13" s="72"/>
      <c r="N13" s="71"/>
      <c r="O13" s="62"/>
      <c r="P13" s="71"/>
      <c r="Q13" s="73"/>
      <c r="R13"/>
      <c r="S13"/>
      <c r="T13"/>
      <c r="U13"/>
      <c r="V13"/>
      <c r="W13" s="99" t="s">
        <v>127</v>
      </c>
      <c r="X13" s="104">
        <v>3</v>
      </c>
      <c r="Y13" s="104">
        <v>75</v>
      </c>
      <c r="Z13" s="105">
        <v>17000000</v>
      </c>
      <c r="AB13"/>
      <c r="AC13"/>
      <c r="AD13"/>
      <c r="AZ13"/>
    </row>
    <row r="14" spans="1:52">
      <c r="A14" s="208"/>
      <c r="B14" s="410"/>
      <c r="C14" s="410"/>
      <c r="D14" s="246"/>
      <c r="E14" s="411"/>
      <c r="F14" s="246"/>
      <c r="G14" s="410"/>
      <c r="H14" s="411"/>
      <c r="I14" s="411"/>
      <c r="J14" s="82">
        <v>8</v>
      </c>
      <c r="L14" s="18"/>
      <c r="M14"/>
      <c r="N14"/>
      <c r="O14"/>
      <c r="P14"/>
      <c r="Q14"/>
      <c r="R14"/>
      <c r="S14"/>
      <c r="T14"/>
      <c r="U14"/>
      <c r="V14"/>
      <c r="W14" s="99" t="s">
        <v>128</v>
      </c>
      <c r="X14" s="104">
        <v>3</v>
      </c>
      <c r="Y14" s="104">
        <v>75</v>
      </c>
      <c r="Z14" s="105">
        <v>17000000</v>
      </c>
      <c r="AB14"/>
      <c r="AC14"/>
      <c r="AD14"/>
      <c r="AZ14"/>
    </row>
    <row r="15" spans="1:52">
      <c r="A15" s="208"/>
      <c r="B15" s="410"/>
      <c r="C15" s="410"/>
      <c r="D15" s="246"/>
      <c r="E15" s="411"/>
      <c r="F15" s="246"/>
      <c r="G15" s="410"/>
      <c r="H15" s="411"/>
      <c r="I15" s="411"/>
      <c r="J15" s="82">
        <v>9</v>
      </c>
      <c r="L15" s="18"/>
      <c r="M15"/>
      <c r="N15"/>
      <c r="O15"/>
      <c r="P15"/>
      <c r="Q15"/>
      <c r="R15"/>
      <c r="S15"/>
      <c r="T15"/>
      <c r="U15"/>
      <c r="V15"/>
      <c r="W15" s="247" t="s">
        <v>277</v>
      </c>
      <c r="X15" s="104">
        <v>6</v>
      </c>
      <c r="Y15" s="104">
        <v>95</v>
      </c>
      <c r="Z15" s="105">
        <v>24000000</v>
      </c>
      <c r="AB15"/>
      <c r="AC15"/>
      <c r="AD15"/>
      <c r="AZ15"/>
    </row>
    <row r="16" spans="1:52">
      <c r="A16" s="208"/>
      <c r="B16" s="410"/>
      <c r="C16" s="410"/>
      <c r="D16" s="246"/>
      <c r="E16" s="411"/>
      <c r="F16" s="246"/>
      <c r="G16" s="410"/>
      <c r="H16" s="411"/>
      <c r="I16" s="411"/>
      <c r="J16" s="82">
        <v>10</v>
      </c>
      <c r="L16" s="18"/>
      <c r="M16"/>
      <c r="N16"/>
      <c r="O16"/>
      <c r="P16"/>
      <c r="Q16"/>
      <c r="R16"/>
      <c r="S16"/>
      <c r="T16"/>
      <c r="U16"/>
      <c r="V16"/>
      <c r="W16" s="247" t="s">
        <v>278</v>
      </c>
      <c r="X16" s="104">
        <v>3</v>
      </c>
      <c r="Y16" s="104">
        <v>75</v>
      </c>
      <c r="Z16" s="105">
        <v>24000000</v>
      </c>
      <c r="AB16"/>
      <c r="AC16"/>
      <c r="AD16"/>
      <c r="AZ16"/>
    </row>
    <row r="17" spans="1:52">
      <c r="A17" s="208"/>
      <c r="B17" s="410"/>
      <c r="C17" s="410"/>
      <c r="D17" s="246"/>
      <c r="E17" s="411"/>
      <c r="F17" s="246"/>
      <c r="G17" s="410"/>
      <c r="H17" s="411"/>
      <c r="I17" s="411"/>
      <c r="J17" s="82">
        <v>11</v>
      </c>
      <c r="L17" s="18"/>
      <c r="M17"/>
      <c r="N17"/>
      <c r="O17"/>
      <c r="P17"/>
      <c r="Q17"/>
      <c r="R17"/>
      <c r="S17"/>
      <c r="T17"/>
      <c r="U17"/>
      <c r="V17"/>
      <c r="W17" s="247" t="s">
        <v>279</v>
      </c>
      <c r="X17" s="104">
        <v>6</v>
      </c>
      <c r="Y17" s="104">
        <v>95</v>
      </c>
      <c r="Z17" s="105">
        <v>24000000</v>
      </c>
      <c r="AB17"/>
      <c r="AC17"/>
      <c r="AD17"/>
      <c r="AZ17"/>
    </row>
    <row r="18" spans="1:52">
      <c r="A18" s="208"/>
      <c r="B18" s="410"/>
      <c r="C18" s="410"/>
      <c r="D18" s="246"/>
      <c r="E18" s="411"/>
      <c r="F18" s="246"/>
      <c r="G18" s="410"/>
      <c r="H18" s="411"/>
      <c r="I18" s="411"/>
      <c r="J18" s="82">
        <v>12</v>
      </c>
      <c r="L18" s="18"/>
      <c r="M18"/>
      <c r="N18"/>
      <c r="O18"/>
      <c r="P18"/>
      <c r="Q18"/>
      <c r="R18"/>
      <c r="S18"/>
      <c r="T18"/>
      <c r="U18"/>
      <c r="V18"/>
      <c r="W18" s="98"/>
      <c r="X18" s="104"/>
      <c r="Y18" s="104"/>
      <c r="Z18" s="105"/>
      <c r="AB18"/>
      <c r="AC18"/>
      <c r="AD18"/>
      <c r="AZ18"/>
    </row>
    <row r="19" spans="1:52">
      <c r="A19" s="208"/>
      <c r="B19" s="410"/>
      <c r="C19" s="410"/>
      <c r="D19" s="246"/>
      <c r="E19" s="411"/>
      <c r="F19" s="246"/>
      <c r="G19" s="410"/>
      <c r="H19" s="411"/>
      <c r="I19" s="411"/>
      <c r="J19" s="82">
        <v>13</v>
      </c>
      <c r="L19" s="18"/>
      <c r="M19"/>
      <c r="N19"/>
      <c r="O19"/>
      <c r="P19"/>
      <c r="Q19"/>
      <c r="R19"/>
      <c r="S19"/>
      <c r="T19"/>
      <c r="U19"/>
      <c r="V19"/>
      <c r="W19" s="101"/>
      <c r="X19" s="104"/>
      <c r="Y19" s="104"/>
      <c r="Z19" s="105"/>
      <c r="AB19"/>
      <c r="AC19"/>
      <c r="AD19"/>
      <c r="AZ19"/>
    </row>
    <row r="20" spans="1:52">
      <c r="A20" s="208"/>
      <c r="B20" s="410"/>
      <c r="C20" s="410"/>
      <c r="D20" s="246"/>
      <c r="E20" s="411"/>
      <c r="F20" s="246"/>
      <c r="G20" s="410"/>
      <c r="H20" s="411"/>
      <c r="I20" s="411"/>
      <c r="J20" s="82">
        <v>14</v>
      </c>
      <c r="L20" s="18"/>
      <c r="M20"/>
      <c r="N20"/>
      <c r="O20"/>
      <c r="P20"/>
      <c r="Q20"/>
      <c r="R20"/>
      <c r="S20"/>
      <c r="T20"/>
      <c r="U20"/>
      <c r="V20"/>
      <c r="W20" s="101"/>
      <c r="X20" s="104"/>
      <c r="Y20" s="104"/>
      <c r="Z20" s="105"/>
    </row>
    <row r="21" spans="1:52">
      <c r="A21" s="208"/>
      <c r="B21" s="410"/>
      <c r="C21" s="410"/>
      <c r="D21" s="246"/>
      <c r="E21" s="411"/>
      <c r="F21" s="246"/>
      <c r="G21" s="410"/>
      <c r="H21" s="411"/>
      <c r="I21" s="411"/>
      <c r="J21" s="82">
        <v>15</v>
      </c>
      <c r="L21" s="18"/>
      <c r="M21"/>
      <c r="N21"/>
      <c r="O21"/>
      <c r="P21"/>
      <c r="Q21"/>
      <c r="R21"/>
      <c r="S21"/>
      <c r="T21"/>
      <c r="U21"/>
      <c r="V21"/>
      <c r="W21" s="101"/>
      <c r="X21" s="104"/>
      <c r="Y21" s="104"/>
      <c r="Z21" s="105"/>
    </row>
    <row r="22" spans="1:52">
      <c r="A22" s="208"/>
      <c r="B22" s="410"/>
      <c r="C22" s="410"/>
      <c r="D22" s="246"/>
      <c r="E22" s="411"/>
      <c r="F22" s="246"/>
      <c r="G22" s="410"/>
      <c r="H22" s="411"/>
      <c r="I22" s="411"/>
      <c r="J22" s="82">
        <v>16</v>
      </c>
      <c r="L22" s="18"/>
      <c r="M22"/>
      <c r="N22"/>
      <c r="O22"/>
      <c r="P22"/>
      <c r="Q22"/>
      <c r="R22"/>
      <c r="S22"/>
      <c r="T22"/>
      <c r="U22"/>
      <c r="V22"/>
      <c r="W22" s="98"/>
      <c r="X22" s="104"/>
      <c r="Y22" s="104"/>
      <c r="Z22" s="105"/>
    </row>
    <row r="23" spans="1:52">
      <c r="A23" s="208"/>
      <c r="B23" s="410"/>
      <c r="C23" s="410"/>
      <c r="D23" s="246"/>
      <c r="E23" s="411"/>
      <c r="F23" s="246"/>
      <c r="G23" s="410"/>
      <c r="H23" s="411"/>
      <c r="I23" s="411"/>
      <c r="J23" s="82">
        <v>17</v>
      </c>
      <c r="L23" s="18"/>
      <c r="M23"/>
      <c r="N23"/>
      <c r="O23"/>
      <c r="P23"/>
      <c r="Q23"/>
      <c r="R23"/>
      <c r="S23"/>
      <c r="T23"/>
      <c r="U23"/>
      <c r="V23"/>
      <c r="W23" s="101"/>
      <c r="X23" s="104"/>
      <c r="Y23" s="104"/>
      <c r="Z23" s="105"/>
    </row>
    <row r="24" spans="1:52">
      <c r="A24" s="208"/>
      <c r="B24" s="410"/>
      <c r="C24" s="410"/>
      <c r="D24" s="246"/>
      <c r="E24" s="411"/>
      <c r="F24" s="246"/>
      <c r="G24" s="410"/>
      <c r="H24" s="411"/>
      <c r="I24" s="411"/>
      <c r="J24" s="82">
        <v>18</v>
      </c>
      <c r="L24" s="18"/>
      <c r="M24"/>
      <c r="N24"/>
      <c r="O24"/>
      <c r="P24"/>
      <c r="Q24"/>
      <c r="R24"/>
      <c r="S24"/>
      <c r="T24"/>
      <c r="U24"/>
      <c r="V24"/>
      <c r="W24" s="101"/>
      <c r="X24" s="104"/>
      <c r="Y24" s="104"/>
      <c r="Z24" s="105"/>
    </row>
    <row r="25" spans="1:52" ht="15.75" thickBot="1">
      <c r="A25" s="208"/>
      <c r="B25" s="410"/>
      <c r="C25" s="410"/>
      <c r="D25" s="246"/>
      <c r="E25" s="411"/>
      <c r="F25" s="246"/>
      <c r="G25" s="410"/>
      <c r="H25" s="411"/>
      <c r="I25" s="411"/>
      <c r="J25" s="82">
        <v>19</v>
      </c>
      <c r="L25" s="18"/>
      <c r="M25"/>
      <c r="N25"/>
      <c r="O25"/>
      <c r="P25"/>
      <c r="Q25"/>
      <c r="R25"/>
      <c r="S25"/>
      <c r="T25"/>
      <c r="U25"/>
      <c r="V25"/>
      <c r="W25" s="102"/>
      <c r="X25" s="106"/>
      <c r="Y25" s="106"/>
      <c r="Z25" s="107"/>
    </row>
    <row r="26" spans="1:52">
      <c r="A26" s="208"/>
      <c r="B26" s="410"/>
      <c r="C26" s="410"/>
      <c r="D26" s="246"/>
      <c r="E26" s="411"/>
      <c r="F26" s="246"/>
      <c r="G26" s="410"/>
      <c r="H26" s="411"/>
      <c r="I26" s="411"/>
      <c r="J26" s="82">
        <v>20</v>
      </c>
      <c r="L26" s="18"/>
      <c r="M26"/>
      <c r="N26"/>
      <c r="O26"/>
      <c r="P26"/>
      <c r="Q26"/>
      <c r="R26"/>
      <c r="S26"/>
      <c r="T26"/>
      <c r="U26"/>
      <c r="V26"/>
    </row>
    <row r="27" spans="1:52">
      <c r="A27" s="208"/>
      <c r="B27" s="410"/>
      <c r="C27" s="410"/>
      <c r="D27" s="246"/>
      <c r="E27" s="411"/>
      <c r="F27" s="246"/>
      <c r="G27" s="410"/>
      <c r="H27" s="411"/>
      <c r="I27" s="411"/>
      <c r="J27" s="82">
        <v>21</v>
      </c>
      <c r="L27" s="18"/>
      <c r="M27"/>
      <c r="N27"/>
      <c r="O27"/>
      <c r="P27"/>
      <c r="Q27"/>
      <c r="R27"/>
      <c r="S27"/>
      <c r="T27"/>
      <c r="U27"/>
      <c r="V27"/>
    </row>
    <row r="28" spans="1:52">
      <c r="A28" s="208"/>
      <c r="B28" s="410"/>
      <c r="C28" s="410"/>
      <c r="D28" s="246"/>
      <c r="E28" s="411"/>
      <c r="F28" s="246"/>
      <c r="G28" s="410"/>
      <c r="H28" s="411"/>
      <c r="I28" s="411"/>
      <c r="J28" s="82">
        <v>22</v>
      </c>
      <c r="L28" s="18"/>
      <c r="M28"/>
      <c r="N28"/>
      <c r="O28"/>
      <c r="P28"/>
      <c r="Q28"/>
      <c r="R28"/>
      <c r="S28"/>
      <c r="T28"/>
      <c r="U28"/>
      <c r="V28"/>
    </row>
    <row r="29" spans="1:52">
      <c r="A29" s="208"/>
      <c r="B29" s="410"/>
      <c r="C29" s="410"/>
      <c r="D29" s="246"/>
      <c r="E29" s="411"/>
      <c r="F29" s="246"/>
      <c r="G29" s="410"/>
      <c r="H29" s="411"/>
      <c r="I29" s="411"/>
      <c r="J29" s="82">
        <v>23</v>
      </c>
      <c r="L29" s="18"/>
      <c r="M29"/>
      <c r="N29"/>
      <c r="O29"/>
      <c r="P29"/>
      <c r="Q29"/>
      <c r="R29"/>
      <c r="S29"/>
      <c r="T29"/>
      <c r="U29"/>
      <c r="V29"/>
    </row>
    <row r="30" spans="1:52">
      <c r="A30" s="208"/>
      <c r="B30" s="410"/>
      <c r="C30" s="410"/>
      <c r="D30" s="246"/>
      <c r="E30" s="411"/>
      <c r="F30" s="246"/>
      <c r="G30" s="410"/>
      <c r="H30" s="411"/>
      <c r="I30" s="411"/>
      <c r="J30" s="82">
        <v>24</v>
      </c>
      <c r="L30" s="18"/>
      <c r="M30"/>
      <c r="N30"/>
      <c r="O30"/>
      <c r="P30"/>
      <c r="Q30"/>
      <c r="R30"/>
      <c r="S30"/>
      <c r="T30"/>
      <c r="U30"/>
      <c r="V30"/>
    </row>
    <row r="31" spans="1:52" ht="22.5" customHeight="1" thickBot="1">
      <c r="A31" s="412">
        <f>SUM(A7:A30)</f>
        <v>500000</v>
      </c>
      <c r="B31" s="193" t="s">
        <v>23</v>
      </c>
      <c r="C31" s="209">
        <f>SUM(C7:C30)</f>
        <v>0</v>
      </c>
      <c r="D31" s="193" t="s">
        <v>185</v>
      </c>
      <c r="E31" s="210">
        <f>SUM(E7:E30)</f>
        <v>0</v>
      </c>
      <c r="F31" s="193" t="s">
        <v>24</v>
      </c>
      <c r="G31" s="210">
        <f>SUM(G7:G30)</f>
        <v>0</v>
      </c>
      <c r="H31" s="452" t="s">
        <v>25</v>
      </c>
      <c r="I31" s="452"/>
      <c r="J31" s="453"/>
      <c r="L31" s="18"/>
      <c r="M31"/>
      <c r="N31"/>
      <c r="O31"/>
      <c r="P31"/>
      <c r="Q31"/>
      <c r="R31"/>
      <c r="S31"/>
      <c r="T31"/>
      <c r="U31"/>
      <c r="V31"/>
    </row>
    <row r="32" spans="1:52" ht="19.5" customHeight="1">
      <c r="A32" s="154"/>
      <c r="B32" s="66"/>
      <c r="C32" s="66"/>
      <c r="D32" s="66"/>
      <c r="E32" s="66"/>
      <c r="F32" s="66"/>
      <c r="G32" s="66"/>
      <c r="H32" s="66"/>
      <c r="I32" s="20"/>
      <c r="J32" s="20"/>
      <c r="L32" s="18"/>
      <c r="M32"/>
      <c r="N32"/>
      <c r="O32"/>
      <c r="P32"/>
      <c r="Q32"/>
      <c r="R32"/>
      <c r="S32"/>
      <c r="T32"/>
      <c r="U32"/>
      <c r="V32"/>
    </row>
    <row r="33" spans="1:22" ht="21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L33" s="18"/>
      <c r="M33"/>
      <c r="N33"/>
      <c r="O33"/>
      <c r="P33"/>
      <c r="Q33"/>
      <c r="R33"/>
      <c r="S33"/>
      <c r="T33"/>
      <c r="U33"/>
      <c r="V33"/>
    </row>
    <row r="34" spans="1:22" ht="21.75" customHeight="1">
      <c r="A34" s="66"/>
      <c r="B34" s="66"/>
      <c r="C34" s="66"/>
      <c r="D34" s="66" t="s">
        <v>17</v>
      </c>
      <c r="E34" s="66"/>
      <c r="F34" s="66"/>
      <c r="G34" s="66"/>
      <c r="H34" s="66"/>
      <c r="I34" s="20"/>
      <c r="J34" s="20"/>
      <c r="L34" s="18"/>
      <c r="M34"/>
      <c r="N34"/>
      <c r="O34"/>
      <c r="P34"/>
      <c r="Q34"/>
      <c r="R34"/>
      <c r="S34"/>
      <c r="T34"/>
      <c r="U34"/>
      <c r="V34"/>
    </row>
    <row r="35" spans="1:22" ht="19.5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L35" s="18"/>
      <c r="M35"/>
      <c r="N35"/>
      <c r="O35"/>
      <c r="P35"/>
      <c r="Q35"/>
      <c r="R35"/>
      <c r="S35"/>
      <c r="T35"/>
      <c r="U35"/>
      <c r="V35"/>
    </row>
    <row r="36" spans="1:22" ht="21.75" customHeight="1">
      <c r="A36" s="66"/>
      <c r="B36" s="66"/>
      <c r="C36" s="66"/>
      <c r="D36" s="66"/>
      <c r="E36" s="66"/>
      <c r="F36" s="66"/>
      <c r="G36" s="66"/>
      <c r="H36" s="66"/>
      <c r="I36" s="20"/>
      <c r="J36" s="20"/>
      <c r="L36" s="18"/>
      <c r="M36"/>
      <c r="N36"/>
      <c r="O36"/>
      <c r="P36"/>
      <c r="Q36"/>
      <c r="R36"/>
      <c r="S36"/>
      <c r="T36"/>
      <c r="U36"/>
      <c r="V36"/>
    </row>
    <row r="37" spans="1:22" ht="21.75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L37" s="18"/>
      <c r="M37"/>
      <c r="N37"/>
      <c r="O37"/>
      <c r="P37"/>
      <c r="Q37"/>
      <c r="R37"/>
      <c r="S37"/>
      <c r="T37"/>
      <c r="U37"/>
      <c r="V37"/>
    </row>
    <row r="38" spans="1:22" ht="21.75" customHeight="1">
      <c r="A38" s="66"/>
      <c r="B38" s="66"/>
      <c r="C38" s="66"/>
      <c r="D38" s="66"/>
      <c r="E38" s="66"/>
      <c r="F38" s="66"/>
      <c r="G38" s="66"/>
      <c r="H38" s="66"/>
      <c r="I38" s="20"/>
      <c r="J38" s="20"/>
      <c r="L38" s="18"/>
      <c r="M38"/>
      <c r="N38"/>
      <c r="O38"/>
      <c r="P38"/>
      <c r="Q38"/>
      <c r="R38"/>
      <c r="S38"/>
      <c r="T38"/>
      <c r="U38"/>
      <c r="V38"/>
    </row>
    <row r="39" spans="1:22" ht="21.75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L39" s="18"/>
      <c r="M39"/>
      <c r="N39"/>
      <c r="O39"/>
      <c r="P39"/>
      <c r="Q39"/>
      <c r="R39"/>
      <c r="S39"/>
      <c r="T39"/>
      <c r="U39"/>
      <c r="V39"/>
    </row>
    <row r="40" spans="1:22" ht="21.75" customHeight="1">
      <c r="A40" s="66"/>
      <c r="B40" s="66"/>
      <c r="C40" s="66"/>
      <c r="D40" s="66"/>
      <c r="E40" s="66"/>
      <c r="F40" s="66"/>
      <c r="G40" s="66"/>
      <c r="H40" s="66"/>
      <c r="I40" s="20"/>
      <c r="J40" s="20"/>
      <c r="L40" s="18"/>
      <c r="M40"/>
      <c r="N40"/>
      <c r="O40"/>
      <c r="P40"/>
      <c r="Q40"/>
      <c r="R40"/>
      <c r="S40"/>
      <c r="T40"/>
      <c r="U40"/>
      <c r="V40"/>
    </row>
    <row r="41" spans="1:22">
      <c r="A41" s="20"/>
      <c r="B41" s="20"/>
      <c r="C41" s="20"/>
      <c r="D41" s="20"/>
      <c r="E41" s="20"/>
      <c r="F41" s="20"/>
      <c r="G41" s="20"/>
      <c r="H41" s="20"/>
      <c r="I41" s="20"/>
      <c r="J41" s="20"/>
      <c r="L41" s="18"/>
      <c r="M41"/>
      <c r="N41"/>
      <c r="O41"/>
      <c r="P41"/>
      <c r="Q41"/>
      <c r="R41"/>
      <c r="S41"/>
      <c r="T41"/>
      <c r="U41"/>
      <c r="V41"/>
    </row>
    <row r="42" spans="1:22">
      <c r="A42" s="66"/>
      <c r="B42" s="66"/>
      <c r="C42" s="66"/>
      <c r="D42" s="66"/>
      <c r="E42" s="66"/>
      <c r="F42" s="66"/>
      <c r="G42" s="66"/>
      <c r="H42" s="66"/>
      <c r="I42" s="20"/>
      <c r="J42" s="20"/>
      <c r="L42" s="18"/>
      <c r="M42"/>
      <c r="N42"/>
      <c r="O42"/>
      <c r="P42"/>
      <c r="Q42"/>
      <c r="R42"/>
      <c r="S42"/>
      <c r="T42"/>
      <c r="U42"/>
      <c r="V42"/>
    </row>
    <row r="43" spans="1:22">
      <c r="A43" s="20"/>
      <c r="B43" s="20"/>
      <c r="C43" s="20"/>
      <c r="D43" s="20"/>
      <c r="E43" s="20"/>
      <c r="F43" s="20"/>
      <c r="G43" s="20"/>
      <c r="H43" s="20"/>
      <c r="I43" s="20"/>
      <c r="J43" s="20"/>
      <c r="L43" s="18"/>
      <c r="M43"/>
      <c r="N43"/>
      <c r="O43"/>
      <c r="P43"/>
      <c r="Q43"/>
      <c r="R43"/>
      <c r="S43"/>
      <c r="T43"/>
      <c r="U43"/>
      <c r="V43"/>
    </row>
    <row r="44" spans="1:22">
      <c r="A44" s="66"/>
      <c r="B44" s="66"/>
      <c r="C44" s="66"/>
      <c r="D44" s="66"/>
      <c r="E44" s="66"/>
      <c r="F44" s="66"/>
      <c r="G44" s="66"/>
      <c r="H44" s="66"/>
      <c r="I44" s="20"/>
      <c r="J44" s="20"/>
      <c r="L44" s="18"/>
      <c r="M44"/>
      <c r="N44"/>
      <c r="O44"/>
      <c r="P44"/>
      <c r="Q44"/>
      <c r="R44"/>
      <c r="S44"/>
      <c r="T44"/>
      <c r="U44"/>
      <c r="V44"/>
    </row>
    <row r="45" spans="1:22">
      <c r="A45" s="20"/>
      <c r="B45" s="20"/>
      <c r="C45" s="20"/>
      <c r="D45" s="20"/>
      <c r="E45" s="20"/>
      <c r="F45" s="20"/>
      <c r="G45" s="20"/>
      <c r="H45" s="20"/>
      <c r="I45" s="20"/>
      <c r="J45" s="20"/>
      <c r="L45" s="18"/>
      <c r="M45"/>
      <c r="N45"/>
      <c r="O45"/>
      <c r="P45"/>
      <c r="Q45"/>
      <c r="R45"/>
      <c r="S45"/>
      <c r="T45"/>
      <c r="U45"/>
      <c r="V45"/>
    </row>
    <row r="46" spans="1:22">
      <c r="A46" s="66"/>
      <c r="B46" s="66"/>
      <c r="C46" s="66"/>
      <c r="D46" s="66"/>
      <c r="E46" s="66"/>
      <c r="F46" s="66"/>
      <c r="G46" s="66"/>
      <c r="H46" s="66"/>
      <c r="I46" s="20"/>
      <c r="J46" s="20"/>
      <c r="L46" s="18"/>
      <c r="M46"/>
      <c r="N46"/>
      <c r="O46"/>
      <c r="P46"/>
      <c r="Q46"/>
      <c r="R46"/>
      <c r="S46"/>
      <c r="T46"/>
      <c r="U46"/>
      <c r="V46"/>
    </row>
    <row r="47" spans="1:22">
      <c r="A47" s="20"/>
      <c r="B47" s="20"/>
      <c r="C47" s="20"/>
      <c r="D47" s="20"/>
      <c r="E47" s="20"/>
      <c r="F47" s="20"/>
      <c r="G47" s="20"/>
      <c r="H47" s="20"/>
      <c r="I47" s="20"/>
      <c r="J47" s="20"/>
      <c r="L47" s="18"/>
      <c r="M47"/>
      <c r="N47"/>
      <c r="O47"/>
      <c r="P47"/>
      <c r="Q47"/>
      <c r="R47"/>
      <c r="S47"/>
      <c r="T47"/>
      <c r="U47"/>
      <c r="V47"/>
    </row>
    <row r="48" spans="1:22">
      <c r="A48" s="66"/>
      <c r="B48" s="66"/>
      <c r="C48" s="66"/>
      <c r="D48" s="66"/>
      <c r="E48" s="66"/>
      <c r="F48" s="66"/>
      <c r="G48" s="66"/>
      <c r="H48" s="66"/>
      <c r="I48" s="20"/>
      <c r="J48" s="20"/>
      <c r="L48" s="18"/>
      <c r="M48"/>
      <c r="N48"/>
      <c r="O48"/>
      <c r="P48"/>
      <c r="Q48"/>
      <c r="R48"/>
      <c r="S48"/>
      <c r="T48"/>
      <c r="U48"/>
      <c r="V48"/>
    </row>
    <row r="49" spans="1:22">
      <c r="A49" s="20"/>
      <c r="B49" s="20"/>
      <c r="C49" s="20"/>
      <c r="D49" s="20"/>
      <c r="E49" s="20"/>
      <c r="F49" s="20"/>
      <c r="G49" s="20"/>
      <c r="H49" s="20"/>
      <c r="I49" s="20"/>
      <c r="J49" s="20"/>
      <c r="L49" s="18"/>
      <c r="M49"/>
      <c r="N49"/>
      <c r="O49"/>
      <c r="P49"/>
      <c r="Q49"/>
      <c r="R49"/>
      <c r="S49"/>
      <c r="T49"/>
      <c r="U49"/>
      <c r="V49"/>
    </row>
    <row r="50" spans="1:22">
      <c r="A50" s="66"/>
      <c r="B50" s="66"/>
      <c r="C50" s="66"/>
      <c r="D50" s="66"/>
      <c r="E50" s="66"/>
      <c r="F50" s="66"/>
      <c r="G50" s="66"/>
      <c r="H50" s="66"/>
      <c r="I50" s="20"/>
      <c r="J50" s="20"/>
      <c r="L50" s="18"/>
      <c r="M50"/>
      <c r="N50"/>
      <c r="O50"/>
      <c r="P50"/>
      <c r="Q50"/>
      <c r="R50"/>
      <c r="S50"/>
      <c r="T50"/>
      <c r="U50"/>
      <c r="V50"/>
    </row>
    <row r="51" spans="1:22">
      <c r="A51" s="20"/>
      <c r="B51" s="20"/>
      <c r="C51" s="20"/>
      <c r="D51" s="20"/>
      <c r="E51" s="20"/>
      <c r="F51" s="20"/>
      <c r="G51" s="20"/>
      <c r="H51" s="20"/>
      <c r="I51" s="20"/>
      <c r="J51" s="20"/>
      <c r="L51" s="18"/>
      <c r="M51"/>
      <c r="N51"/>
      <c r="O51"/>
      <c r="P51"/>
      <c r="Q51"/>
      <c r="R51"/>
      <c r="S51"/>
      <c r="T51"/>
      <c r="U51"/>
      <c r="V51"/>
    </row>
    <row r="52" spans="1:22">
      <c r="A52" s="67"/>
      <c r="B52" s="67"/>
      <c r="C52" s="67"/>
      <c r="D52" s="67"/>
      <c r="E52" s="67"/>
      <c r="F52" s="67"/>
      <c r="G52" s="67"/>
      <c r="H52" s="67"/>
      <c r="M52"/>
      <c r="N52"/>
      <c r="O52"/>
      <c r="P52"/>
      <c r="Q52"/>
      <c r="R52"/>
      <c r="S52"/>
      <c r="T52"/>
      <c r="U52"/>
      <c r="V52"/>
    </row>
    <row r="53" spans="1:22">
      <c r="M53"/>
      <c r="N53"/>
      <c r="O53"/>
      <c r="P53"/>
      <c r="Q53"/>
      <c r="R53"/>
      <c r="S53"/>
      <c r="T53"/>
      <c r="U53"/>
      <c r="V53"/>
    </row>
    <row r="54" spans="1:22">
      <c r="A54" s="67"/>
      <c r="B54" s="67"/>
      <c r="C54" s="67"/>
      <c r="D54" s="67"/>
      <c r="E54" s="67"/>
      <c r="F54" s="67"/>
      <c r="G54" s="67"/>
      <c r="H54" s="67"/>
      <c r="M54"/>
      <c r="N54"/>
      <c r="O54"/>
      <c r="P54"/>
      <c r="Q54"/>
      <c r="R54"/>
      <c r="S54"/>
      <c r="T54"/>
      <c r="U54"/>
      <c r="V54"/>
    </row>
    <row r="55" spans="1:22">
      <c r="M55"/>
      <c r="N55"/>
      <c r="O55"/>
      <c r="P55"/>
      <c r="Q55"/>
      <c r="R55"/>
      <c r="S55"/>
      <c r="T55"/>
      <c r="U55"/>
      <c r="V55"/>
    </row>
    <row r="56" spans="1:22">
      <c r="A56" s="67"/>
      <c r="B56" s="67"/>
      <c r="C56" s="67"/>
      <c r="D56" s="67"/>
      <c r="E56" s="67"/>
      <c r="F56" s="67"/>
      <c r="G56" s="67"/>
      <c r="H56" s="67"/>
      <c r="M56"/>
      <c r="N56"/>
      <c r="O56"/>
      <c r="P56"/>
      <c r="Q56"/>
      <c r="R56"/>
      <c r="S56"/>
      <c r="T56"/>
      <c r="U56"/>
      <c r="V56"/>
    </row>
    <row r="57" spans="1:22">
      <c r="M57"/>
      <c r="N57"/>
      <c r="O57"/>
      <c r="P57"/>
      <c r="Q57"/>
      <c r="R57"/>
      <c r="S57"/>
      <c r="T57"/>
      <c r="U57"/>
      <c r="V57"/>
    </row>
    <row r="58" spans="1:22">
      <c r="A58" s="67"/>
      <c r="B58" s="67"/>
      <c r="C58" s="67"/>
      <c r="D58" s="67"/>
      <c r="E58" s="67"/>
      <c r="F58" s="67"/>
      <c r="G58" s="67"/>
      <c r="H58" s="67"/>
      <c r="M58"/>
      <c r="N58"/>
      <c r="O58"/>
      <c r="P58"/>
      <c r="Q58"/>
      <c r="R58"/>
      <c r="S58"/>
      <c r="T58"/>
      <c r="U58"/>
      <c r="V58"/>
    </row>
    <row r="59" spans="1:22">
      <c r="M59"/>
      <c r="N59"/>
      <c r="O59"/>
      <c r="P59"/>
      <c r="Q59"/>
      <c r="R59"/>
      <c r="S59"/>
      <c r="T59"/>
      <c r="U59"/>
      <c r="V59"/>
    </row>
    <row r="60" spans="1:22">
      <c r="A60" s="67"/>
      <c r="B60" s="67"/>
      <c r="C60" s="67"/>
      <c r="D60" s="67"/>
      <c r="E60" s="67"/>
      <c r="F60" s="67"/>
      <c r="G60" s="67"/>
      <c r="H60" s="67"/>
      <c r="M60"/>
      <c r="N60"/>
      <c r="O60"/>
      <c r="P60"/>
      <c r="Q60"/>
      <c r="R60"/>
      <c r="S60"/>
      <c r="T60"/>
      <c r="U60"/>
      <c r="V60"/>
    </row>
    <row r="61" spans="1:22">
      <c r="M61"/>
      <c r="N61"/>
      <c r="O61"/>
      <c r="P61"/>
      <c r="Q61"/>
      <c r="R61"/>
      <c r="S61"/>
      <c r="T61"/>
      <c r="U61"/>
      <c r="V61"/>
    </row>
    <row r="62" spans="1:22">
      <c r="A62" s="67"/>
      <c r="B62" s="67"/>
      <c r="C62" s="67"/>
      <c r="D62" s="67"/>
      <c r="E62" s="67"/>
      <c r="F62" s="67"/>
      <c r="G62" s="67"/>
      <c r="H62" s="67"/>
      <c r="M62"/>
      <c r="N62"/>
      <c r="O62"/>
      <c r="P62"/>
      <c r="Q62"/>
      <c r="R62"/>
      <c r="S62"/>
      <c r="T62"/>
      <c r="U62"/>
      <c r="V62"/>
    </row>
    <row r="63" spans="1:22">
      <c r="M63"/>
      <c r="N63"/>
      <c r="O63"/>
      <c r="P63"/>
      <c r="Q63"/>
      <c r="R63"/>
      <c r="S63"/>
      <c r="T63"/>
      <c r="U63"/>
      <c r="V63"/>
    </row>
    <row r="64" spans="1:22">
      <c r="A64" s="67"/>
      <c r="B64" s="67"/>
      <c r="C64" s="67"/>
      <c r="D64" s="67"/>
      <c r="E64" s="67"/>
      <c r="F64" s="67"/>
      <c r="G64" s="67"/>
      <c r="H64" s="67"/>
      <c r="M64"/>
      <c r="N64"/>
      <c r="O64"/>
      <c r="P64"/>
      <c r="Q64"/>
      <c r="R64"/>
      <c r="S64"/>
      <c r="T64"/>
      <c r="U64"/>
      <c r="V64"/>
    </row>
    <row r="65" spans="1:22">
      <c r="M65"/>
      <c r="N65"/>
      <c r="O65"/>
      <c r="P65"/>
      <c r="Q65"/>
      <c r="R65"/>
      <c r="S65"/>
      <c r="T65"/>
      <c r="U65"/>
      <c r="V65"/>
    </row>
    <row r="66" spans="1:22">
      <c r="A66" s="67"/>
      <c r="B66" s="67"/>
      <c r="C66" s="67"/>
      <c r="D66" s="67"/>
      <c r="E66" s="67"/>
      <c r="F66" s="67"/>
      <c r="G66" s="67"/>
      <c r="H66" s="67"/>
      <c r="M66"/>
      <c r="N66"/>
      <c r="O66"/>
      <c r="P66"/>
      <c r="Q66"/>
      <c r="R66"/>
      <c r="S66"/>
      <c r="T66"/>
      <c r="U66"/>
      <c r="V66"/>
    </row>
    <row r="67" spans="1:22">
      <c r="M67"/>
      <c r="N67"/>
      <c r="O67"/>
      <c r="P67"/>
      <c r="Q67"/>
      <c r="R67"/>
      <c r="S67"/>
      <c r="T67"/>
      <c r="U67"/>
      <c r="V67"/>
    </row>
    <row r="68" spans="1:22">
      <c r="A68" s="67"/>
      <c r="B68" s="67"/>
      <c r="C68" s="67"/>
      <c r="D68" s="67"/>
      <c r="E68" s="67"/>
      <c r="F68" s="67"/>
      <c r="G68" s="67"/>
      <c r="H68" s="67"/>
      <c r="M68"/>
      <c r="N68"/>
      <c r="O68"/>
      <c r="P68"/>
      <c r="Q68"/>
      <c r="R68"/>
      <c r="S68"/>
      <c r="T68"/>
      <c r="U68"/>
      <c r="V68"/>
    </row>
    <row r="69" spans="1:22">
      <c r="M69"/>
      <c r="N69"/>
      <c r="O69"/>
      <c r="P69"/>
      <c r="Q69"/>
      <c r="R69"/>
      <c r="S69"/>
      <c r="T69"/>
      <c r="U69"/>
      <c r="V69"/>
    </row>
    <row r="70" spans="1:22">
      <c r="A70" s="67"/>
      <c r="B70" s="67"/>
      <c r="C70" s="67"/>
      <c r="D70" s="67"/>
      <c r="E70" s="67"/>
      <c r="F70" s="67"/>
      <c r="G70" s="67"/>
      <c r="H70" s="67"/>
      <c r="M70"/>
      <c r="N70"/>
      <c r="O70"/>
      <c r="P70"/>
      <c r="Q70"/>
      <c r="R70"/>
      <c r="S70"/>
      <c r="T70"/>
      <c r="U70"/>
      <c r="V70"/>
    </row>
    <row r="71" spans="1:22">
      <c r="M71"/>
      <c r="N71"/>
      <c r="O71"/>
      <c r="P71"/>
      <c r="Q71"/>
      <c r="R71"/>
      <c r="S71"/>
      <c r="T71"/>
      <c r="U71"/>
      <c r="V71"/>
    </row>
    <row r="72" spans="1:22">
      <c r="A72" s="67"/>
      <c r="B72" s="67"/>
      <c r="C72" s="67"/>
      <c r="D72" s="67"/>
      <c r="E72" s="67"/>
      <c r="F72" s="67"/>
      <c r="G72" s="67"/>
      <c r="H72" s="67"/>
      <c r="M72"/>
      <c r="N72"/>
      <c r="O72"/>
      <c r="P72"/>
      <c r="Q72"/>
      <c r="R72"/>
      <c r="S72"/>
      <c r="T72"/>
      <c r="U72"/>
      <c r="V72"/>
    </row>
    <row r="74" spans="1:22">
      <c r="A74" s="67"/>
      <c r="B74" s="67"/>
      <c r="C74" s="67"/>
      <c r="D74" s="67"/>
      <c r="E74" s="67"/>
      <c r="F74" s="67"/>
      <c r="G74" s="67"/>
      <c r="H74" s="67"/>
    </row>
    <row r="76" spans="1:22">
      <c r="A76" s="67"/>
      <c r="B76" s="67"/>
      <c r="C76" s="67"/>
      <c r="D76" s="67"/>
      <c r="E76" s="67"/>
      <c r="F76" s="67"/>
      <c r="G76" s="67"/>
      <c r="H76" s="67"/>
    </row>
  </sheetData>
  <mergeCells count="6">
    <mergeCell ref="H31:J31"/>
    <mergeCell ref="A4:J5"/>
    <mergeCell ref="H6:I6"/>
    <mergeCell ref="A1:B1"/>
    <mergeCell ref="A2:J2"/>
    <mergeCell ref="E1:J1"/>
  </mergeCells>
  <pageMargins left="0.4" right="0.4" top="0.5" bottom="0.5" header="0.3" footer="0.3"/>
  <pageSetup paperSize="9" orientation="portrait" r:id="rId1"/>
  <headerFooter>
    <oddFooter>&amp;C
&amp;G&amp;R&amp;G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8" r:id="rId5" name="Button 4">
              <controlPr defaultSize="0" print="0" autoFill="0" autoPict="0" macro="[0]!Material">
                <anchor moveWithCells="1" sizeWithCells="1">
                  <from>
                    <xdr:col>12</xdr:col>
                    <xdr:colOff>438150</xdr:colOff>
                    <xdr:row>5</xdr:row>
                    <xdr:rowOff>9525</xdr:rowOff>
                  </from>
                  <to>
                    <xdr:col>15</xdr:col>
                    <xdr:colOff>28575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6" name="Button 5">
              <controlPr defaultSize="0" print="0" autoFill="0" autoPict="0" macro="[0]!ClearMaterial">
                <anchor moveWithCells="1" sizeWithCells="1">
                  <from>
                    <xdr:col>12</xdr:col>
                    <xdr:colOff>438150</xdr:colOff>
                    <xdr:row>8</xdr:row>
                    <xdr:rowOff>76200</xdr:rowOff>
                  </from>
                  <to>
                    <xdr:col>15</xdr:col>
                    <xdr:colOff>38100</xdr:colOff>
                    <xdr:row>10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0000"/>
  </sheetPr>
  <dimension ref="A1:Y51"/>
  <sheetViews>
    <sheetView view="pageBreakPreview" zoomScale="130" zoomScaleNormal="100" zoomScaleSheetLayoutView="130" workbookViewId="0">
      <selection activeCell="A31" sqref="A31"/>
    </sheetView>
  </sheetViews>
  <sheetFormatPr defaultColWidth="8.85546875" defaultRowHeight="15"/>
  <cols>
    <col min="1" max="1" width="18.7109375" style="15" customWidth="1"/>
    <col min="2" max="2" width="15.7109375" style="1" customWidth="1"/>
    <col min="3" max="3" width="7.7109375" style="1" customWidth="1"/>
    <col min="4" max="4" width="6.7109375" style="1" customWidth="1"/>
    <col min="5" max="5" width="19" style="1" hidden="1" customWidth="1"/>
    <col min="6" max="6" width="32.7109375" style="15" customWidth="1"/>
    <col min="7" max="7" width="3.7109375" style="1" customWidth="1"/>
    <col min="8" max="12" width="8.85546875" style="1"/>
    <col min="13" max="20" width="0.140625" style="1" customWidth="1"/>
    <col min="21" max="22" width="8.85546875" style="1"/>
    <col min="23" max="23" width="31.5703125" style="103" customWidth="1"/>
    <col min="24" max="24" width="22.5703125" style="103" customWidth="1"/>
    <col min="25" max="25" width="8.85546875" style="1"/>
    <col min="26" max="26" width="16.28515625" style="1" customWidth="1"/>
    <col min="27" max="27" width="44.85546875" style="1" customWidth="1"/>
    <col min="28" max="28" width="13.85546875" style="1" customWidth="1"/>
    <col min="29" max="16384" width="8.85546875" style="1"/>
  </cols>
  <sheetData>
    <row r="1" spans="1:25" ht="18.75" thickBot="1">
      <c r="A1" s="457" t="str">
        <f>CONCATENATE(Data!$D$3,Data!$C$3)</f>
        <v xml:space="preserve">تاریخ : </v>
      </c>
      <c r="B1" s="457"/>
      <c r="C1" s="460" t="str">
        <f>CONCATENATE(Data!$D$2,Data!$C$2)</f>
        <v xml:space="preserve">نام پروژه : </v>
      </c>
      <c r="D1" s="460"/>
      <c r="E1" s="460"/>
      <c r="F1" s="460"/>
      <c r="G1" s="460"/>
      <c r="H1" s="179"/>
      <c r="I1" s="179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5" ht="23.25" customHeight="1" thickBot="1">
      <c r="A2" s="14"/>
      <c r="B2" s="12"/>
      <c r="C2" s="459" t="s">
        <v>54</v>
      </c>
      <c r="D2" s="459"/>
      <c r="E2" s="459"/>
      <c r="F2" s="459"/>
      <c r="G2" s="12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W2" s="95" t="s">
        <v>19</v>
      </c>
      <c r="X2" s="96" t="s">
        <v>98</v>
      </c>
      <c r="Y2" s="160" t="s">
        <v>14</v>
      </c>
    </row>
    <row r="3" spans="1:25" ht="18">
      <c r="A3" s="7" t="s">
        <v>59</v>
      </c>
      <c r="B3" s="12"/>
      <c r="C3" s="12"/>
      <c r="D3" s="12"/>
      <c r="E3" s="12"/>
      <c r="F3" s="14"/>
      <c r="G3" s="12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W3" s="99" t="s">
        <v>102</v>
      </c>
      <c r="X3" s="99">
        <v>900000</v>
      </c>
      <c r="Y3" s="99" t="s">
        <v>182</v>
      </c>
    </row>
    <row r="4" spans="1:25">
      <c r="A4" s="454"/>
      <c r="B4" s="454"/>
      <c r="C4" s="454"/>
      <c r="D4" s="454"/>
      <c r="E4" s="454"/>
      <c r="F4" s="454"/>
      <c r="G4" s="454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W4" s="99" t="s">
        <v>118</v>
      </c>
      <c r="X4" s="99">
        <v>900000</v>
      </c>
      <c r="Y4" s="99" t="s">
        <v>182</v>
      </c>
    </row>
    <row r="5" spans="1:25" ht="15.75" thickBot="1">
      <c r="A5" s="454"/>
      <c r="B5" s="454"/>
      <c r="C5" s="454"/>
      <c r="D5" s="454"/>
      <c r="E5" s="454"/>
      <c r="F5" s="454"/>
      <c r="G5" s="454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W5" s="99" t="s">
        <v>119</v>
      </c>
      <c r="X5" s="99">
        <v>750000</v>
      </c>
      <c r="Y5" s="99" t="s">
        <v>182</v>
      </c>
    </row>
    <row r="6" spans="1:25" ht="22.5" customHeight="1" thickBot="1">
      <c r="A6" s="195" t="s">
        <v>12</v>
      </c>
      <c r="B6" s="196" t="s">
        <v>13</v>
      </c>
      <c r="C6" s="196" t="s">
        <v>26</v>
      </c>
      <c r="D6" s="196" t="s">
        <v>27</v>
      </c>
      <c r="E6" s="455" t="s">
        <v>15</v>
      </c>
      <c r="F6" s="456"/>
      <c r="G6" s="199" t="s">
        <v>4</v>
      </c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W6" s="99" t="s">
        <v>111</v>
      </c>
      <c r="X6" s="99">
        <v>750000</v>
      </c>
      <c r="Y6" s="99" t="s">
        <v>182</v>
      </c>
    </row>
    <row r="7" spans="1:25" ht="15.75">
      <c r="A7" s="208"/>
      <c r="B7" s="78"/>
      <c r="C7" s="68"/>
      <c r="D7" s="245"/>
      <c r="E7" s="79"/>
      <c r="F7" s="247"/>
      <c r="G7" s="150">
        <v>1</v>
      </c>
      <c r="H7"/>
      <c r="I7"/>
      <c r="J7"/>
      <c r="K7"/>
      <c r="L7"/>
      <c r="M7" s="18"/>
      <c r="N7" s="18"/>
      <c r="O7" s="18"/>
      <c r="P7" s="18"/>
      <c r="Q7" s="18"/>
      <c r="R7" s="18"/>
      <c r="S7" s="18"/>
      <c r="T7" s="18"/>
      <c r="W7" s="99" t="s">
        <v>112</v>
      </c>
      <c r="X7" s="99">
        <v>750000</v>
      </c>
      <c r="Y7" s="99" t="s">
        <v>182</v>
      </c>
    </row>
    <row r="8" spans="1:25" ht="15.75">
      <c r="A8" s="208"/>
      <c r="B8" s="78"/>
      <c r="C8" s="68"/>
      <c r="D8" s="245"/>
      <c r="E8" s="77"/>
      <c r="F8" s="247"/>
      <c r="G8" s="153">
        <v>2</v>
      </c>
      <c r="H8"/>
      <c r="I8"/>
      <c r="J8"/>
      <c r="K8"/>
      <c r="L8"/>
      <c r="M8" s="18"/>
      <c r="N8" s="18"/>
      <c r="O8" s="18"/>
      <c r="P8" s="18"/>
      <c r="Q8" s="18"/>
      <c r="R8" s="18"/>
      <c r="S8" s="18"/>
      <c r="T8" s="18"/>
      <c r="W8" s="99" t="s">
        <v>108</v>
      </c>
      <c r="X8" s="99">
        <v>900000</v>
      </c>
      <c r="Y8" s="99" t="s">
        <v>182</v>
      </c>
    </row>
    <row r="9" spans="1:25" ht="15.75">
      <c r="A9" s="208"/>
      <c r="B9" s="78"/>
      <c r="C9" s="68"/>
      <c r="D9" s="245"/>
      <c r="E9" s="79"/>
      <c r="F9" s="247"/>
      <c r="G9" s="153">
        <v>3</v>
      </c>
      <c r="H9"/>
      <c r="I9"/>
      <c r="J9"/>
      <c r="K9"/>
      <c r="L9"/>
      <c r="M9" s="18"/>
      <c r="N9" s="18"/>
      <c r="O9" s="18"/>
      <c r="P9" s="18"/>
      <c r="Q9" s="18"/>
      <c r="R9" s="18"/>
      <c r="S9" s="18"/>
      <c r="T9" s="18"/>
      <c r="W9" s="99" t="s">
        <v>120</v>
      </c>
      <c r="X9" s="99">
        <v>900000</v>
      </c>
      <c r="Y9" s="99" t="s">
        <v>182</v>
      </c>
    </row>
    <row r="10" spans="1:25" s="3" customFormat="1" ht="15.75">
      <c r="A10" s="208"/>
      <c r="B10" s="78"/>
      <c r="C10" s="68"/>
      <c r="D10" s="245"/>
      <c r="E10" s="77"/>
      <c r="F10" s="247"/>
      <c r="G10" s="153">
        <v>4</v>
      </c>
      <c r="H10"/>
      <c r="I10"/>
      <c r="J10"/>
      <c r="K10"/>
      <c r="L10"/>
      <c r="M10" s="19"/>
      <c r="N10" s="19"/>
      <c r="O10" s="19"/>
      <c r="P10" s="19"/>
      <c r="Q10" s="19"/>
      <c r="R10" s="19"/>
      <c r="S10" s="19"/>
      <c r="T10" s="19"/>
      <c r="W10" s="99" t="s">
        <v>121</v>
      </c>
      <c r="X10" s="99">
        <v>750000</v>
      </c>
      <c r="Y10" s="99" t="s">
        <v>182</v>
      </c>
    </row>
    <row r="11" spans="1:25" s="3" customFormat="1" ht="15.75">
      <c r="A11" s="208"/>
      <c r="B11" s="78"/>
      <c r="C11" s="68"/>
      <c r="D11" s="245"/>
      <c r="E11" s="77"/>
      <c r="F11" s="247"/>
      <c r="G11" s="153">
        <v>5</v>
      </c>
      <c r="H11"/>
      <c r="I11"/>
      <c r="J11"/>
      <c r="K11"/>
      <c r="L11"/>
      <c r="M11" s="19"/>
      <c r="N11" s="19"/>
      <c r="O11" s="19"/>
      <c r="P11" s="19"/>
      <c r="Q11" s="19"/>
      <c r="R11" s="19"/>
      <c r="S11" s="19"/>
      <c r="T11" s="19"/>
      <c r="W11" s="99" t="s">
        <v>122</v>
      </c>
      <c r="X11" s="99">
        <v>900000</v>
      </c>
      <c r="Y11" s="99" t="s">
        <v>182</v>
      </c>
    </row>
    <row r="12" spans="1:25" ht="15.75">
      <c r="A12" s="208"/>
      <c r="B12" s="78"/>
      <c r="C12" s="68"/>
      <c r="D12" s="245"/>
      <c r="E12" s="77"/>
      <c r="F12" s="247"/>
      <c r="G12" s="153">
        <v>6</v>
      </c>
      <c r="H12"/>
      <c r="I12"/>
      <c r="J12"/>
      <c r="K12"/>
      <c r="L12"/>
      <c r="M12" s="18"/>
      <c r="N12" s="18"/>
      <c r="O12" s="18"/>
      <c r="P12" s="18"/>
      <c r="Q12" s="18"/>
      <c r="R12" s="18"/>
      <c r="S12" s="18"/>
      <c r="T12" s="18"/>
      <c r="W12" s="99" t="s">
        <v>123</v>
      </c>
      <c r="X12" s="99">
        <v>750000</v>
      </c>
      <c r="Y12" s="99" t="s">
        <v>182</v>
      </c>
    </row>
    <row r="13" spans="1:25" ht="15.75">
      <c r="A13" s="208"/>
      <c r="B13" s="78"/>
      <c r="C13" s="68"/>
      <c r="D13" s="245"/>
      <c r="E13" s="77"/>
      <c r="F13" s="263"/>
      <c r="G13" s="153">
        <v>7</v>
      </c>
      <c r="H13"/>
      <c r="I13"/>
      <c r="J13"/>
      <c r="K13"/>
      <c r="L13"/>
      <c r="M13" s="18"/>
      <c r="N13" s="18"/>
      <c r="O13" s="18"/>
      <c r="P13" s="18"/>
      <c r="Q13" s="18"/>
      <c r="R13" s="18"/>
      <c r="S13" s="18"/>
      <c r="T13" s="18"/>
      <c r="W13" s="99" t="s">
        <v>105</v>
      </c>
      <c r="X13" s="99">
        <v>900000</v>
      </c>
      <c r="Y13" s="99" t="s">
        <v>182</v>
      </c>
    </row>
    <row r="14" spans="1:25" ht="15.75">
      <c r="A14" s="208"/>
      <c r="B14" s="78"/>
      <c r="C14" s="68"/>
      <c r="D14" s="78"/>
      <c r="E14" s="77"/>
      <c r="F14" s="77"/>
      <c r="G14" s="153">
        <v>8</v>
      </c>
      <c r="H14"/>
      <c r="I14"/>
      <c r="J14"/>
      <c r="K14"/>
      <c r="L14"/>
      <c r="M14" s="18"/>
      <c r="N14" s="18"/>
      <c r="O14" s="18"/>
      <c r="P14" s="18"/>
      <c r="Q14" s="18"/>
      <c r="R14" s="18"/>
      <c r="S14" s="18"/>
      <c r="T14" s="18"/>
      <c r="W14" s="99" t="s">
        <v>110</v>
      </c>
      <c r="X14" s="99">
        <v>750000</v>
      </c>
      <c r="Y14" s="99" t="s">
        <v>182</v>
      </c>
    </row>
    <row r="15" spans="1:25" ht="15.75">
      <c r="A15" s="208"/>
      <c r="B15" s="78"/>
      <c r="C15" s="68"/>
      <c r="D15" s="78"/>
      <c r="E15" s="77"/>
      <c r="F15" s="77"/>
      <c r="G15" s="153">
        <v>9</v>
      </c>
      <c r="H15"/>
      <c r="I15"/>
      <c r="J15"/>
      <c r="K15"/>
      <c r="L15"/>
      <c r="M15" s="18"/>
      <c r="N15" s="18"/>
      <c r="O15" s="18"/>
      <c r="P15" s="18"/>
      <c r="Q15" s="18"/>
      <c r="R15" s="18"/>
      <c r="S15" s="18"/>
      <c r="T15" s="18"/>
      <c r="W15" s="99" t="s">
        <v>127</v>
      </c>
      <c r="X15" s="99">
        <v>750000</v>
      </c>
      <c r="Y15" s="99" t="s">
        <v>182</v>
      </c>
    </row>
    <row r="16" spans="1:25" ht="15.75">
      <c r="A16" s="208"/>
      <c r="B16" s="78"/>
      <c r="C16" s="68"/>
      <c r="D16" s="78"/>
      <c r="E16" s="77"/>
      <c r="F16" s="77"/>
      <c r="G16" s="153">
        <v>10</v>
      </c>
      <c r="H16"/>
      <c r="I16"/>
      <c r="J16"/>
      <c r="K16"/>
      <c r="L16"/>
      <c r="M16" s="18"/>
      <c r="N16" s="18"/>
      <c r="O16" s="18"/>
      <c r="P16" s="18"/>
      <c r="Q16" s="18"/>
      <c r="R16" s="18"/>
      <c r="S16" s="18"/>
      <c r="T16" s="18"/>
      <c r="W16" s="99" t="s">
        <v>128</v>
      </c>
      <c r="X16" s="99">
        <v>750000</v>
      </c>
      <c r="Y16" s="99" t="s">
        <v>182</v>
      </c>
    </row>
    <row r="17" spans="1:25" ht="15.75">
      <c r="A17" s="208"/>
      <c r="B17" s="78"/>
      <c r="C17" s="68"/>
      <c r="D17" s="78"/>
      <c r="E17" s="77"/>
      <c r="F17" s="77"/>
      <c r="G17" s="153">
        <v>11</v>
      </c>
      <c r="H17"/>
      <c r="I17"/>
      <c r="J17"/>
      <c r="K17"/>
      <c r="L17"/>
      <c r="M17" s="18"/>
      <c r="N17" s="18"/>
      <c r="O17" s="18"/>
      <c r="P17" s="18"/>
      <c r="Q17" s="18"/>
      <c r="R17" s="18"/>
      <c r="S17" s="18"/>
      <c r="T17" s="18"/>
      <c r="W17" s="247" t="s">
        <v>279</v>
      </c>
      <c r="X17" s="159">
        <v>900000</v>
      </c>
      <c r="Y17" s="99" t="s">
        <v>182</v>
      </c>
    </row>
    <row r="18" spans="1:25" ht="15.75">
      <c r="A18" s="208"/>
      <c r="B18" s="78"/>
      <c r="C18" s="68"/>
      <c r="D18" s="78"/>
      <c r="E18" s="77"/>
      <c r="F18" s="77"/>
      <c r="G18" s="153">
        <v>12</v>
      </c>
      <c r="H18"/>
      <c r="I18"/>
      <c r="J18"/>
      <c r="K18"/>
      <c r="L18"/>
      <c r="M18" s="18"/>
      <c r="N18" s="18"/>
      <c r="O18" s="18"/>
      <c r="P18" s="18"/>
      <c r="Q18" s="18"/>
      <c r="R18" s="18"/>
      <c r="S18" s="18"/>
      <c r="T18" s="18"/>
      <c r="W18" s="111"/>
      <c r="X18" s="159"/>
      <c r="Y18" s="99" t="s">
        <v>182</v>
      </c>
    </row>
    <row r="19" spans="1:25" ht="15.75">
      <c r="A19" s="208"/>
      <c r="B19" s="78"/>
      <c r="C19" s="68"/>
      <c r="D19" s="78"/>
      <c r="E19" s="77"/>
      <c r="F19" s="77"/>
      <c r="G19" s="153">
        <v>13</v>
      </c>
      <c r="H19"/>
      <c r="I19"/>
      <c r="J19"/>
      <c r="K19"/>
      <c r="L19"/>
      <c r="M19" s="18"/>
      <c r="N19" s="18"/>
      <c r="O19" s="18"/>
      <c r="P19" s="18"/>
      <c r="Q19" s="18"/>
      <c r="R19" s="18"/>
      <c r="S19" s="18"/>
      <c r="T19" s="18"/>
      <c r="W19" s="111"/>
      <c r="X19" s="159"/>
      <c r="Y19" s="99" t="s">
        <v>182</v>
      </c>
    </row>
    <row r="20" spans="1:25" ht="15.75">
      <c r="A20" s="208"/>
      <c r="B20" s="78"/>
      <c r="C20" s="68"/>
      <c r="D20" s="78"/>
      <c r="E20" s="77"/>
      <c r="F20" s="77"/>
      <c r="G20" s="153">
        <v>14</v>
      </c>
      <c r="H20"/>
      <c r="I20"/>
      <c r="J20"/>
      <c r="K20"/>
      <c r="L20"/>
      <c r="M20" s="18"/>
      <c r="N20" s="18"/>
      <c r="O20" s="18"/>
      <c r="P20" s="18"/>
      <c r="Q20" s="18"/>
      <c r="R20" s="18"/>
      <c r="S20" s="18"/>
      <c r="T20" s="18"/>
      <c r="W20" s="101"/>
      <c r="X20" s="159"/>
      <c r="Y20" s="99" t="s">
        <v>182</v>
      </c>
    </row>
    <row r="21" spans="1:25" ht="15.75">
      <c r="A21" s="208"/>
      <c r="B21" s="78"/>
      <c r="C21" s="68"/>
      <c r="D21" s="78"/>
      <c r="E21" s="77"/>
      <c r="F21" s="77"/>
      <c r="G21" s="153">
        <v>15</v>
      </c>
      <c r="H21"/>
      <c r="I21"/>
      <c r="J21"/>
      <c r="K21"/>
      <c r="L21"/>
      <c r="M21" s="18"/>
      <c r="N21" s="18"/>
      <c r="O21" s="18"/>
      <c r="P21" s="18"/>
      <c r="Q21" s="18"/>
      <c r="R21" s="18"/>
      <c r="S21" s="18"/>
      <c r="T21" s="18"/>
      <c r="W21" s="101"/>
      <c r="X21" s="159"/>
      <c r="Y21" s="99" t="s">
        <v>182</v>
      </c>
    </row>
    <row r="22" spans="1:25" ht="15.75">
      <c r="A22" s="208"/>
      <c r="B22" s="78"/>
      <c r="C22" s="68"/>
      <c r="D22" s="78"/>
      <c r="E22" s="77"/>
      <c r="F22" s="77"/>
      <c r="G22" s="153">
        <v>16</v>
      </c>
      <c r="H22"/>
      <c r="I22"/>
      <c r="J22"/>
      <c r="K22"/>
      <c r="L22"/>
      <c r="M22" s="18"/>
      <c r="N22" s="18"/>
      <c r="O22" s="18"/>
      <c r="P22" s="18"/>
      <c r="Q22" s="18"/>
      <c r="R22" s="18"/>
      <c r="S22" s="18"/>
      <c r="T22" s="18"/>
      <c r="W22" s="101"/>
      <c r="X22" s="159"/>
      <c r="Y22" s="99" t="s">
        <v>182</v>
      </c>
    </row>
    <row r="23" spans="1:25" ht="15.75">
      <c r="A23" s="208"/>
      <c r="B23" s="78"/>
      <c r="C23" s="68"/>
      <c r="D23" s="78"/>
      <c r="E23" s="77"/>
      <c r="F23" s="77"/>
      <c r="G23" s="153">
        <v>17</v>
      </c>
      <c r="H23"/>
      <c r="I23"/>
      <c r="J23"/>
      <c r="K23"/>
      <c r="L23"/>
      <c r="M23" s="18"/>
      <c r="N23" s="18"/>
      <c r="O23" s="18"/>
      <c r="P23" s="18"/>
      <c r="Q23" s="18"/>
      <c r="R23" s="18"/>
      <c r="S23" s="18"/>
      <c r="T23" s="18"/>
      <c r="W23" s="111"/>
      <c r="X23" s="159"/>
      <c r="Y23" s="99" t="s">
        <v>182</v>
      </c>
    </row>
    <row r="24" spans="1:25" ht="15.75">
      <c r="A24" s="208"/>
      <c r="B24" s="78"/>
      <c r="C24" s="68"/>
      <c r="D24" s="78"/>
      <c r="E24" s="77"/>
      <c r="F24" s="77"/>
      <c r="G24" s="153">
        <v>18</v>
      </c>
      <c r="H24"/>
      <c r="I24"/>
      <c r="J24"/>
      <c r="K24"/>
      <c r="L24"/>
      <c r="M24" s="18"/>
      <c r="N24" s="18"/>
      <c r="O24" s="18"/>
      <c r="P24" s="18"/>
      <c r="Q24" s="18"/>
      <c r="R24" s="18"/>
      <c r="S24" s="18"/>
      <c r="T24" s="18"/>
      <c r="W24" s="101"/>
      <c r="X24" s="159"/>
      <c r="Y24" s="99" t="s">
        <v>182</v>
      </c>
    </row>
    <row r="25" spans="1:25" ht="16.5" thickBot="1">
      <c r="A25" s="208"/>
      <c r="B25" s="78"/>
      <c r="C25" s="68"/>
      <c r="D25" s="77"/>
      <c r="E25" s="77"/>
      <c r="F25" s="77"/>
      <c r="G25" s="153">
        <v>19</v>
      </c>
      <c r="H25"/>
      <c r="I25"/>
      <c r="J25"/>
      <c r="K25"/>
      <c r="L25"/>
      <c r="M25" s="18"/>
      <c r="N25" s="18"/>
      <c r="O25" s="18"/>
      <c r="P25" s="18"/>
      <c r="Q25" s="18"/>
      <c r="R25" s="18"/>
      <c r="S25" s="18"/>
      <c r="T25" s="18"/>
      <c r="W25" s="102"/>
      <c r="X25" s="161"/>
      <c r="Y25" s="99" t="s">
        <v>182</v>
      </c>
    </row>
    <row r="26" spans="1:25" ht="15.75">
      <c r="A26" s="208"/>
      <c r="B26" s="78"/>
      <c r="C26" s="68"/>
      <c r="D26" s="77"/>
      <c r="E26" s="77"/>
      <c r="F26" s="77"/>
      <c r="G26" s="153">
        <v>20</v>
      </c>
      <c r="H26"/>
      <c r="I26"/>
      <c r="J26"/>
      <c r="K26"/>
      <c r="L26"/>
      <c r="M26" s="18"/>
      <c r="N26" s="18"/>
      <c r="O26" s="18"/>
      <c r="P26" s="18"/>
      <c r="Q26" s="18"/>
      <c r="R26" s="18"/>
      <c r="S26" s="18"/>
      <c r="T26" s="18"/>
    </row>
    <row r="27" spans="1:25" ht="15.75">
      <c r="A27" s="208"/>
      <c r="B27" s="78"/>
      <c r="C27" s="68"/>
      <c r="D27" s="77"/>
      <c r="E27" s="77"/>
      <c r="F27" s="77"/>
      <c r="G27" s="153">
        <v>21</v>
      </c>
      <c r="H27"/>
      <c r="I27"/>
      <c r="J27"/>
      <c r="K27"/>
      <c r="L27"/>
      <c r="M27" s="18"/>
      <c r="N27" s="18"/>
      <c r="O27" s="18"/>
      <c r="P27" s="18"/>
      <c r="Q27" s="18"/>
      <c r="R27" s="18"/>
      <c r="S27" s="18"/>
      <c r="T27" s="18"/>
    </row>
    <row r="28" spans="1:25" ht="15.75">
      <c r="A28" s="208"/>
      <c r="B28" s="78"/>
      <c r="C28" s="68"/>
      <c r="D28" s="77"/>
      <c r="E28" s="77"/>
      <c r="F28" s="77"/>
      <c r="G28" s="153">
        <v>22</v>
      </c>
      <c r="H28"/>
      <c r="I28"/>
      <c r="J28"/>
      <c r="K28"/>
      <c r="L28"/>
      <c r="M28" s="18"/>
      <c r="N28" s="18"/>
      <c r="O28" s="18"/>
      <c r="P28" s="18"/>
      <c r="Q28" s="18"/>
      <c r="R28" s="18"/>
      <c r="S28" s="18"/>
      <c r="T28" s="18"/>
    </row>
    <row r="29" spans="1:25" ht="15.75">
      <c r="A29" s="208"/>
      <c r="B29" s="78"/>
      <c r="C29" s="68"/>
      <c r="D29" s="77"/>
      <c r="E29" s="77"/>
      <c r="F29" s="77"/>
      <c r="G29" s="153">
        <v>23</v>
      </c>
      <c r="H29"/>
      <c r="I29"/>
      <c r="J29"/>
      <c r="K29"/>
      <c r="L29"/>
      <c r="M29" s="18"/>
      <c r="N29" s="18"/>
      <c r="O29" s="18"/>
      <c r="P29" s="18"/>
      <c r="Q29" s="18"/>
      <c r="R29" s="18"/>
      <c r="S29" s="18"/>
      <c r="T29" s="18"/>
    </row>
    <row r="30" spans="1:25" ht="16.5" thickBot="1">
      <c r="A30" s="208"/>
      <c r="B30" s="78"/>
      <c r="C30" s="68"/>
      <c r="D30" s="77"/>
      <c r="E30" s="77"/>
      <c r="F30" s="77"/>
      <c r="G30" s="153">
        <v>24</v>
      </c>
      <c r="H30"/>
      <c r="I30"/>
      <c r="J30"/>
      <c r="K30"/>
      <c r="L30"/>
      <c r="M30" s="18"/>
      <c r="N30" s="18"/>
      <c r="O30" s="18"/>
      <c r="P30" s="18"/>
      <c r="Q30" s="18"/>
      <c r="R30" s="18"/>
      <c r="S30" s="18"/>
      <c r="T30" s="18"/>
    </row>
    <row r="31" spans="1:25" ht="18.75" thickBot="1">
      <c r="A31" s="373">
        <f>SUM(A7:A30)</f>
        <v>0</v>
      </c>
      <c r="B31" s="32"/>
      <c r="C31" s="34"/>
      <c r="D31" s="33"/>
      <c r="E31" s="63"/>
      <c r="F31" s="65" t="s">
        <v>16</v>
      </c>
      <c r="G31" s="64"/>
      <c r="H31"/>
      <c r="I31"/>
      <c r="J31"/>
      <c r="K31"/>
      <c r="L31"/>
      <c r="M31" s="18"/>
      <c r="N31" s="18"/>
      <c r="O31" s="18"/>
      <c r="P31" s="18"/>
      <c r="Q31" s="18"/>
      <c r="R31" s="18"/>
      <c r="S31" s="18"/>
      <c r="T31" s="18"/>
    </row>
    <row r="32" spans="1:25">
      <c r="A32" s="20"/>
      <c r="B32" s="20"/>
      <c r="C32" s="20"/>
      <c r="D32" s="20"/>
      <c r="E32" s="20"/>
      <c r="F32" s="20"/>
      <c r="G32" s="20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</row>
    <row r="33" spans="1:20">
      <c r="A33" s="20"/>
      <c r="B33" s="20"/>
      <c r="C33" s="20"/>
      <c r="D33" s="20"/>
      <c r="E33" s="20"/>
      <c r="F33" s="20"/>
      <c r="G33" s="20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</row>
    <row r="34" spans="1:20">
      <c r="A34" s="20"/>
      <c r="B34" s="20"/>
      <c r="C34" s="20"/>
      <c r="D34" s="20"/>
      <c r="E34" s="20"/>
      <c r="F34" s="20"/>
      <c r="G34" s="20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</row>
    <row r="35" spans="1:20">
      <c r="A35" s="20"/>
      <c r="B35" s="20"/>
      <c r="C35" s="20"/>
      <c r="D35" s="20"/>
      <c r="E35" s="20"/>
      <c r="F35" s="20"/>
      <c r="G35" s="20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</row>
    <row r="36" spans="1:20">
      <c r="A36" s="20"/>
      <c r="B36" s="20"/>
      <c r="C36" s="20"/>
      <c r="D36" s="20"/>
      <c r="E36" s="20"/>
      <c r="F36" s="20"/>
      <c r="G36" s="20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</row>
    <row r="37" spans="1:20">
      <c r="A37" s="20"/>
      <c r="B37" s="20"/>
      <c r="C37" s="20"/>
      <c r="D37" s="20"/>
      <c r="E37" s="20"/>
      <c r="F37" s="20"/>
      <c r="G37" s="20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</row>
    <row r="38" spans="1:20">
      <c r="A38" s="20"/>
      <c r="B38" s="20"/>
      <c r="C38" s="20"/>
      <c r="D38" s="20"/>
      <c r="E38" s="20"/>
      <c r="F38" s="20"/>
      <c r="G38" s="20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</row>
    <row r="39" spans="1:20">
      <c r="A39" s="20"/>
      <c r="B39" s="20"/>
      <c r="C39" s="20"/>
      <c r="D39" s="20"/>
      <c r="E39" s="20"/>
      <c r="F39" s="20"/>
      <c r="G39" s="20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</row>
    <row r="40" spans="1:20">
      <c r="A40" s="20"/>
      <c r="B40" s="20"/>
      <c r="C40" s="20"/>
      <c r="D40" s="20"/>
      <c r="E40" s="20"/>
      <c r="F40" s="20"/>
      <c r="G40" s="20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</row>
    <row r="41" spans="1:20">
      <c r="A41" s="20"/>
      <c r="B41" s="20"/>
      <c r="C41" s="20"/>
      <c r="D41" s="20"/>
      <c r="E41" s="20"/>
      <c r="F41" s="20"/>
      <c r="G41" s="20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</row>
    <row r="42" spans="1:20">
      <c r="A42" s="20"/>
      <c r="B42" s="20"/>
      <c r="C42" s="20"/>
      <c r="D42" s="20"/>
      <c r="E42" s="20"/>
      <c r="F42" s="20"/>
      <c r="G42" s="20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</row>
    <row r="43" spans="1:20">
      <c r="A43" s="20"/>
      <c r="B43" s="20"/>
      <c r="C43" s="20"/>
      <c r="D43" s="20"/>
      <c r="E43" s="20"/>
      <c r="F43" s="20"/>
      <c r="G43" s="20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</row>
    <row r="44" spans="1:20">
      <c r="A44" s="20"/>
      <c r="B44" s="20"/>
      <c r="C44" s="20"/>
      <c r="D44" s="20"/>
      <c r="E44" s="20"/>
      <c r="F44" s="20"/>
      <c r="G44" s="20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</row>
    <row r="45" spans="1:20">
      <c r="A45" s="20"/>
      <c r="B45" s="20"/>
      <c r="C45" s="20"/>
      <c r="D45" s="20"/>
      <c r="E45" s="20"/>
      <c r="F45" s="20"/>
      <c r="G45" s="20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</row>
    <row r="46" spans="1:20">
      <c r="A46" s="20"/>
      <c r="B46" s="20"/>
      <c r="C46" s="20"/>
      <c r="D46" s="20"/>
      <c r="E46" s="20"/>
      <c r="F46" s="20"/>
      <c r="G46" s="20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</row>
    <row r="47" spans="1:20">
      <c r="A47" s="20"/>
      <c r="B47" s="20"/>
      <c r="C47" s="20"/>
      <c r="D47" s="20"/>
      <c r="E47" s="20"/>
      <c r="F47" s="20"/>
      <c r="G47" s="20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</row>
    <row r="48" spans="1:20">
      <c r="A48" s="20"/>
      <c r="B48" s="20"/>
      <c r="C48" s="20"/>
      <c r="D48" s="20"/>
      <c r="E48" s="20"/>
      <c r="F48" s="20"/>
      <c r="G48" s="20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</row>
    <row r="49" spans="1:20">
      <c r="A49" s="20"/>
      <c r="B49" s="20"/>
      <c r="C49" s="20"/>
      <c r="D49" s="20"/>
      <c r="E49" s="20"/>
      <c r="F49" s="20"/>
      <c r="G49" s="20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</row>
    <row r="50" spans="1:20">
      <c r="A50" s="20"/>
      <c r="B50" s="20"/>
      <c r="C50" s="20"/>
      <c r="D50" s="20"/>
      <c r="E50" s="20"/>
      <c r="F50" s="20"/>
      <c r="G50" s="20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</row>
    <row r="51" spans="1:20">
      <c r="A51" s="20"/>
      <c r="B51" s="20"/>
      <c r="C51" s="20"/>
      <c r="D51" s="20"/>
      <c r="E51" s="20"/>
      <c r="F51" s="20"/>
      <c r="G51" s="20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</row>
  </sheetData>
  <mergeCells count="5">
    <mergeCell ref="E6:F6"/>
    <mergeCell ref="C2:F2"/>
    <mergeCell ref="A4:G5"/>
    <mergeCell ref="A1:B1"/>
    <mergeCell ref="C1:G1"/>
  </mergeCells>
  <pageMargins left="0.4" right="0.4" top="0.5" bottom="0.5" header="0.3" footer="0.3"/>
  <pageSetup paperSize="9" orientation="portrait" r:id="rId1"/>
  <headerFooter>
    <oddFooter>&amp;C
&amp;G&amp;R
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7" r:id="rId5" name="Button 7">
              <controlPr defaultSize="0" print="0" autoFill="0" autoPict="0" macro="[0]!ClearBoresh">
                <anchor moveWithCells="1" sizeWithCells="1">
                  <from>
                    <xdr:col>8</xdr:col>
                    <xdr:colOff>542925</xdr:colOff>
                    <xdr:row>7</xdr:row>
                    <xdr:rowOff>104775</xdr:rowOff>
                  </from>
                  <to>
                    <xdr:col>10</xdr:col>
                    <xdr:colOff>438150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6" name="Button 12">
              <controlPr defaultSize="0" print="0" autoFill="0" autoPict="0" macro="[0]!BoreshKari">
                <anchor moveWithCells="1" sizeWithCells="1">
                  <from>
                    <xdr:col>8</xdr:col>
                    <xdr:colOff>533400</xdr:colOff>
                    <xdr:row>4</xdr:row>
                    <xdr:rowOff>76200</xdr:rowOff>
                  </from>
                  <to>
                    <xdr:col>10</xdr:col>
                    <xdr:colOff>428625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'F:\Save\Pro\14010811\[Project_End  final ok_14010811_Orig.xlsm]Data'!#REF!</xm:f>
          </x14:formula1>
          <xm:sqref>C25:C31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0000"/>
  </sheetPr>
  <dimension ref="A1:Y51"/>
  <sheetViews>
    <sheetView view="pageBreakPreview" topLeftCell="A4" zoomScaleNormal="100" zoomScaleSheetLayoutView="100" workbookViewId="0">
      <selection activeCell="A31" sqref="A31"/>
    </sheetView>
  </sheetViews>
  <sheetFormatPr defaultColWidth="8.85546875" defaultRowHeight="15"/>
  <cols>
    <col min="1" max="1" width="19.7109375" style="15" customWidth="1"/>
    <col min="2" max="2" width="15.7109375" style="1" customWidth="1"/>
    <col min="3" max="4" width="6.7109375" style="1" customWidth="1"/>
    <col min="5" max="5" width="32.7109375" style="6" customWidth="1"/>
    <col min="6" max="6" width="3.7109375" style="1" customWidth="1"/>
    <col min="7" max="22" width="8.85546875" style="1"/>
    <col min="23" max="23" width="27.28515625" style="15" customWidth="1"/>
    <col min="24" max="24" width="21" style="1" customWidth="1"/>
    <col min="25" max="16384" width="8.85546875" style="1"/>
  </cols>
  <sheetData>
    <row r="1" spans="1:25" ht="18.75" thickBot="1">
      <c r="A1" s="457" t="str">
        <f>CONCATENATE(Data!$D$3,Data!$C$3)</f>
        <v xml:space="preserve">تاریخ : </v>
      </c>
      <c r="B1" s="457"/>
      <c r="C1" s="54"/>
      <c r="D1" s="464" t="str">
        <f>CONCATENATE(Data!$D$2,Data!$C$2)</f>
        <v xml:space="preserve">نام پروژه : </v>
      </c>
      <c r="E1" s="464"/>
      <c r="F1" s="464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W1" s="116" t="s">
        <v>144</v>
      </c>
      <c r="X1" s="96" t="s">
        <v>143</v>
      </c>
      <c r="Y1" s="160" t="s">
        <v>14</v>
      </c>
    </row>
    <row r="2" spans="1:25" ht="21" thickBot="1">
      <c r="A2" s="16"/>
      <c r="B2" s="463" t="s">
        <v>65</v>
      </c>
      <c r="C2" s="463"/>
      <c r="D2" s="463"/>
      <c r="E2" s="463"/>
      <c r="F2" s="9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W2" s="117" t="s">
        <v>162</v>
      </c>
      <c r="X2" s="207">
        <v>500000</v>
      </c>
      <c r="Y2" s="160" t="s">
        <v>24</v>
      </c>
    </row>
    <row r="3" spans="1:25" ht="21" thickBot="1">
      <c r="A3" s="7" t="s">
        <v>58</v>
      </c>
      <c r="B3" s="17"/>
      <c r="C3" s="10"/>
      <c r="D3" s="10"/>
      <c r="E3" s="10"/>
      <c r="F3" s="9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W3" s="117" t="s">
        <v>163</v>
      </c>
      <c r="X3" s="207">
        <v>500000</v>
      </c>
      <c r="Y3" s="160" t="s">
        <v>24</v>
      </c>
    </row>
    <row r="4" spans="1:25" ht="20.25" customHeight="1" thickBot="1">
      <c r="A4" s="454"/>
      <c r="B4" s="454"/>
      <c r="C4" s="454"/>
      <c r="D4" s="454"/>
      <c r="E4" s="454"/>
      <c r="F4" s="454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W4" s="117" t="s">
        <v>149</v>
      </c>
      <c r="X4" s="207">
        <v>500000</v>
      </c>
      <c r="Y4" s="160" t="s">
        <v>24</v>
      </c>
    </row>
    <row r="5" spans="1:25" ht="16.5" thickBot="1">
      <c r="A5" s="454"/>
      <c r="B5" s="454"/>
      <c r="C5" s="454"/>
      <c r="D5" s="454"/>
      <c r="E5" s="454"/>
      <c r="F5" s="454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W5" s="117" t="s">
        <v>150</v>
      </c>
      <c r="X5" s="207">
        <v>500000</v>
      </c>
      <c r="Y5" s="160" t="s">
        <v>24</v>
      </c>
    </row>
    <row r="6" spans="1:25" ht="20.25" customHeight="1" thickBot="1">
      <c r="A6" s="195" t="s">
        <v>12</v>
      </c>
      <c r="B6" s="196" t="s">
        <v>13</v>
      </c>
      <c r="C6" s="196" t="s">
        <v>26</v>
      </c>
      <c r="D6" s="196" t="s">
        <v>27</v>
      </c>
      <c r="E6" s="197" t="s">
        <v>15</v>
      </c>
      <c r="F6" s="198" t="s">
        <v>4</v>
      </c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W6" s="117" t="s">
        <v>151</v>
      </c>
      <c r="X6" s="207">
        <v>500000</v>
      </c>
      <c r="Y6" s="160" t="s">
        <v>24</v>
      </c>
    </row>
    <row r="7" spans="1:25" ht="16.5" thickBot="1">
      <c r="A7" s="250"/>
      <c r="B7" s="251"/>
      <c r="C7" s="252"/>
      <c r="D7" s="117"/>
      <c r="E7" s="117"/>
      <c r="F7" s="28">
        <v>1</v>
      </c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W7" s="117" t="s">
        <v>160</v>
      </c>
      <c r="X7" s="207">
        <v>300000</v>
      </c>
      <c r="Y7" s="160" t="s">
        <v>24</v>
      </c>
    </row>
    <row r="8" spans="1:25" ht="16.5" thickBot="1">
      <c r="A8" s="250"/>
      <c r="B8" s="251"/>
      <c r="C8" s="252"/>
      <c r="D8" s="117"/>
      <c r="E8" s="117"/>
      <c r="F8" s="28">
        <v>2</v>
      </c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W8" s="117" t="s">
        <v>164</v>
      </c>
      <c r="X8" s="207">
        <v>200000</v>
      </c>
      <c r="Y8" s="160" t="s">
        <v>24</v>
      </c>
    </row>
    <row r="9" spans="1:25" ht="16.5" thickBot="1">
      <c r="A9" s="250"/>
      <c r="B9" s="251"/>
      <c r="C9" s="252"/>
      <c r="D9" s="117"/>
      <c r="E9" s="117"/>
      <c r="F9" s="150">
        <v>3</v>
      </c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W9" s="117" t="s">
        <v>161</v>
      </c>
      <c r="X9" s="207">
        <v>800000</v>
      </c>
      <c r="Y9" s="160" t="s">
        <v>24</v>
      </c>
    </row>
    <row r="10" spans="1:25" s="3" customFormat="1" ht="16.5" thickBot="1">
      <c r="A10" s="250"/>
      <c r="B10" s="251"/>
      <c r="C10" s="252"/>
      <c r="D10" s="117"/>
      <c r="E10" s="117"/>
      <c r="F10" s="150">
        <v>4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W10" s="117" t="s">
        <v>151</v>
      </c>
      <c r="X10" s="207">
        <v>500000</v>
      </c>
      <c r="Y10" s="160" t="s">
        <v>24</v>
      </c>
    </row>
    <row r="11" spans="1:25" s="3" customFormat="1" ht="16.5" thickBot="1">
      <c r="A11" s="250"/>
      <c r="B11" s="251"/>
      <c r="C11" s="252"/>
      <c r="D11" s="117"/>
      <c r="E11" s="117"/>
      <c r="F11" s="150">
        <v>5</v>
      </c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W11" s="117" t="s">
        <v>204</v>
      </c>
      <c r="X11" s="207">
        <v>500000</v>
      </c>
      <c r="Y11" s="160" t="s">
        <v>24</v>
      </c>
    </row>
    <row r="12" spans="1:25" ht="16.5" thickBot="1">
      <c r="A12" s="250"/>
      <c r="B12" s="251"/>
      <c r="C12" s="252"/>
      <c r="D12" s="117"/>
      <c r="E12" s="117"/>
      <c r="F12" s="150">
        <v>6</v>
      </c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W12" s="117" t="s">
        <v>211</v>
      </c>
      <c r="X12" s="207">
        <v>500000</v>
      </c>
      <c r="Y12" s="160" t="s">
        <v>24</v>
      </c>
    </row>
    <row r="13" spans="1:25" ht="16.5" thickBot="1">
      <c r="A13" s="250"/>
      <c r="B13" s="251"/>
      <c r="C13" s="252"/>
      <c r="D13" s="117"/>
      <c r="E13" s="117"/>
      <c r="F13" s="150">
        <v>7</v>
      </c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W13" s="117" t="s">
        <v>210</v>
      </c>
      <c r="X13" s="207">
        <v>500000</v>
      </c>
      <c r="Y13" s="160" t="s">
        <v>24</v>
      </c>
    </row>
    <row r="14" spans="1:25" ht="16.5" thickBot="1">
      <c r="A14" s="250"/>
      <c r="B14" s="251"/>
      <c r="C14" s="252"/>
      <c r="D14" s="117"/>
      <c r="E14" s="117"/>
      <c r="F14" s="150">
        <v>8</v>
      </c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W14" s="117" t="s">
        <v>208</v>
      </c>
      <c r="X14" s="207">
        <v>500000</v>
      </c>
      <c r="Y14" s="160" t="s">
        <v>24</v>
      </c>
    </row>
    <row r="15" spans="1:25" ht="16.5" thickBot="1">
      <c r="A15" s="250"/>
      <c r="B15" s="251"/>
      <c r="C15" s="252"/>
      <c r="D15" s="117"/>
      <c r="E15" s="117"/>
      <c r="F15" s="150">
        <v>9</v>
      </c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W15" s="117" t="s">
        <v>206</v>
      </c>
      <c r="X15" s="207">
        <v>1000000</v>
      </c>
      <c r="Y15" s="160" t="s">
        <v>24</v>
      </c>
    </row>
    <row r="16" spans="1:25" ht="16.5" thickBot="1">
      <c r="A16" s="250"/>
      <c r="B16" s="251"/>
      <c r="C16" s="252"/>
      <c r="D16" s="117"/>
      <c r="E16" s="117"/>
      <c r="F16" s="150">
        <v>10</v>
      </c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W16" s="117" t="s">
        <v>207</v>
      </c>
      <c r="X16" s="207">
        <v>500000</v>
      </c>
      <c r="Y16" s="160" t="s">
        <v>24</v>
      </c>
    </row>
    <row r="17" spans="1:25" ht="16.5" thickBot="1">
      <c r="A17" s="250"/>
      <c r="B17" s="251"/>
      <c r="C17" s="252"/>
      <c r="D17" s="117"/>
      <c r="E17" s="117"/>
      <c r="F17" s="150">
        <v>11</v>
      </c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W17" s="117" t="s">
        <v>205</v>
      </c>
      <c r="X17" s="207">
        <v>500000</v>
      </c>
      <c r="Y17" s="160" t="s">
        <v>24</v>
      </c>
    </row>
    <row r="18" spans="1:25" ht="16.5" thickBot="1">
      <c r="A18" s="250"/>
      <c r="B18" s="251"/>
      <c r="C18" s="252"/>
      <c r="D18" s="117"/>
      <c r="E18" s="117"/>
      <c r="F18" s="151">
        <v>12</v>
      </c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W18" s="117" t="s">
        <v>209</v>
      </c>
      <c r="X18" s="207">
        <v>500000</v>
      </c>
      <c r="Y18" s="160" t="s">
        <v>24</v>
      </c>
    </row>
    <row r="19" spans="1:25" ht="16.5" thickBot="1">
      <c r="A19" s="250"/>
      <c r="B19" s="251"/>
      <c r="C19" s="252"/>
      <c r="D19" s="117"/>
      <c r="E19" s="117"/>
      <c r="F19" s="151">
        <v>13</v>
      </c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W19" s="116"/>
      <c r="X19" s="207"/>
      <c r="Y19" s="160" t="s">
        <v>24</v>
      </c>
    </row>
    <row r="20" spans="1:25" ht="16.5" thickBot="1">
      <c r="A20" s="250"/>
      <c r="B20" s="251"/>
      <c r="C20" s="252"/>
      <c r="D20" s="117"/>
      <c r="E20" s="117"/>
      <c r="F20" s="151">
        <v>14</v>
      </c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W20" s="116"/>
      <c r="X20" s="207"/>
      <c r="Y20" s="160" t="s">
        <v>24</v>
      </c>
    </row>
    <row r="21" spans="1:25" ht="16.5" thickBot="1">
      <c r="A21" s="250"/>
      <c r="B21" s="251"/>
      <c r="C21" s="252"/>
      <c r="D21" s="117"/>
      <c r="E21" s="117"/>
      <c r="F21" s="151">
        <v>15</v>
      </c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W21" s="116"/>
      <c r="X21" s="207"/>
      <c r="Y21" s="160" t="s">
        <v>24</v>
      </c>
    </row>
    <row r="22" spans="1:25" ht="16.5" thickBot="1">
      <c r="A22" s="250"/>
      <c r="B22" s="251"/>
      <c r="C22" s="252"/>
      <c r="D22" s="117"/>
      <c r="E22" s="117"/>
      <c r="F22" s="29">
        <v>16</v>
      </c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W22" s="116"/>
      <c r="X22" s="207"/>
      <c r="Y22" s="160" t="s">
        <v>24</v>
      </c>
    </row>
    <row r="23" spans="1:25" ht="15.75">
      <c r="A23" s="250"/>
      <c r="B23" s="251"/>
      <c r="C23" s="252"/>
      <c r="D23" s="117"/>
      <c r="E23" s="117"/>
      <c r="F23" s="29">
        <v>17</v>
      </c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1:25" ht="15.75">
      <c r="A24" s="250"/>
      <c r="B24" s="251"/>
      <c r="C24" s="252"/>
      <c r="D24" s="117"/>
      <c r="E24" s="117"/>
      <c r="F24" s="29">
        <v>18</v>
      </c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1:25" ht="15.75">
      <c r="A25" s="250"/>
      <c r="B25" s="251"/>
      <c r="C25" s="252"/>
      <c r="D25" s="117"/>
      <c r="E25" s="117"/>
      <c r="F25" s="29">
        <v>19</v>
      </c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1:25" ht="15.75">
      <c r="A26" s="250"/>
      <c r="B26" s="251"/>
      <c r="C26" s="252"/>
      <c r="D26" s="117"/>
      <c r="E26" s="117"/>
      <c r="F26" s="29">
        <v>20</v>
      </c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1:25" ht="15.75">
      <c r="A27" s="250"/>
      <c r="B27" s="251"/>
      <c r="C27" s="252"/>
      <c r="D27" s="117"/>
      <c r="E27" s="117"/>
      <c r="F27" s="29">
        <v>21</v>
      </c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1:25" ht="15.75">
      <c r="A28" s="250"/>
      <c r="B28" s="251"/>
      <c r="C28" s="252"/>
      <c r="D28" s="117"/>
      <c r="E28" s="117"/>
      <c r="F28" s="29">
        <v>22</v>
      </c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1:25" ht="15.75">
      <c r="A29" s="250"/>
      <c r="B29" s="251"/>
      <c r="C29" s="252"/>
      <c r="D29" s="117"/>
      <c r="E29" s="117"/>
      <c r="F29" s="29">
        <v>23</v>
      </c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1:25" ht="16.5" thickBot="1">
      <c r="A30" s="250"/>
      <c r="B30" s="251"/>
      <c r="C30" s="252"/>
      <c r="D30" s="117"/>
      <c r="E30" s="117"/>
      <c r="F30" s="30">
        <v>24</v>
      </c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1:25" ht="24.75" customHeight="1" thickBot="1">
      <c r="A31" s="374">
        <f>SUM(A7:A30)</f>
        <v>0</v>
      </c>
      <c r="B31" s="461" t="s">
        <v>16</v>
      </c>
      <c r="C31" s="461"/>
      <c r="D31" s="461"/>
      <c r="E31" s="461"/>
      <c r="F31" s="462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</row>
    <row r="32" spans="1:25" ht="19.5" customHeight="1">
      <c r="A32" s="20"/>
      <c r="B32" s="20"/>
      <c r="C32" s="20"/>
      <c r="D32" s="20"/>
      <c r="E32" s="20"/>
      <c r="F32" s="20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1:19" ht="21" customHeight="1">
      <c r="A33" s="20"/>
      <c r="B33" s="20"/>
      <c r="C33" s="20"/>
      <c r="D33" s="20"/>
      <c r="E33" s="20"/>
      <c r="F33" s="20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1:19" ht="21.75" customHeight="1">
      <c r="A34" s="20"/>
      <c r="B34" s="20"/>
      <c r="C34" s="20"/>
      <c r="D34" s="20"/>
      <c r="E34" s="20"/>
      <c r="F34" s="20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1:19" ht="19.5" customHeight="1">
      <c r="A35" s="20"/>
      <c r="B35" s="20"/>
      <c r="C35" s="20"/>
      <c r="D35" s="20"/>
      <c r="E35" s="20"/>
      <c r="F35" s="20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1:19" ht="21.75" customHeight="1">
      <c r="A36" s="20"/>
      <c r="B36" s="20"/>
      <c r="C36" s="20"/>
      <c r="D36" s="20"/>
      <c r="E36" s="20"/>
      <c r="F36" s="20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1:19" ht="21.75" customHeight="1">
      <c r="A37" s="20"/>
      <c r="B37" s="20"/>
      <c r="C37" s="20"/>
      <c r="D37" s="20"/>
      <c r="E37" s="20"/>
      <c r="F37" s="20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1:19" ht="21.75" customHeight="1">
      <c r="A38" s="20"/>
      <c r="B38" s="20"/>
      <c r="C38" s="20"/>
      <c r="D38" s="20"/>
      <c r="E38" s="20"/>
      <c r="F38" s="20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1:19" ht="21.75" customHeight="1">
      <c r="A39" s="20"/>
      <c r="B39" s="20"/>
      <c r="C39" s="20"/>
      <c r="D39" s="20"/>
      <c r="E39" s="20"/>
      <c r="F39" s="20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1:19" ht="21.75" customHeight="1">
      <c r="A40" s="20"/>
      <c r="B40" s="20"/>
      <c r="C40" s="20"/>
      <c r="D40" s="20"/>
      <c r="E40" s="20"/>
      <c r="F40" s="20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1:19">
      <c r="A41" s="20"/>
      <c r="B41" s="20"/>
      <c r="C41" s="20"/>
      <c r="D41" s="20"/>
      <c r="E41" s="20"/>
      <c r="F41" s="20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1:19">
      <c r="A42" s="20"/>
      <c r="B42" s="20"/>
      <c r="C42" s="20"/>
      <c r="D42" s="20"/>
      <c r="E42" s="20"/>
      <c r="F42" s="20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1:19">
      <c r="A43" s="20"/>
      <c r="B43" s="20"/>
      <c r="C43" s="20"/>
      <c r="D43" s="20"/>
      <c r="E43" s="20"/>
      <c r="F43" s="20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1:19">
      <c r="A44" s="20"/>
      <c r="B44" s="20"/>
      <c r="C44" s="20"/>
      <c r="D44" s="20"/>
      <c r="E44" s="20"/>
      <c r="F44" s="20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5" spans="1:19">
      <c r="A45" s="20"/>
      <c r="B45" s="20"/>
      <c r="C45" s="20"/>
      <c r="D45" s="20"/>
      <c r="E45" s="20"/>
      <c r="F45" s="20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</row>
    <row r="46" spans="1:19">
      <c r="A46" s="20"/>
      <c r="B46" s="20"/>
      <c r="C46" s="20"/>
      <c r="D46" s="20"/>
      <c r="E46" s="20"/>
      <c r="F46" s="20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</row>
    <row r="47" spans="1:19">
      <c r="A47" s="20"/>
      <c r="B47" s="20"/>
      <c r="C47" s="20"/>
      <c r="D47" s="20"/>
      <c r="E47" s="20"/>
      <c r="F47" s="20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</row>
    <row r="48" spans="1:19">
      <c r="A48" s="20"/>
      <c r="B48" s="20"/>
      <c r="C48" s="20"/>
      <c r="D48" s="20"/>
      <c r="E48" s="20"/>
      <c r="F48" s="20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</row>
    <row r="49" spans="1:19">
      <c r="A49" s="20"/>
      <c r="B49" s="20"/>
      <c r="C49" s="20"/>
      <c r="D49" s="20"/>
      <c r="E49" s="20"/>
      <c r="F49" s="20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</row>
    <row r="50" spans="1:19">
      <c r="A50" s="20"/>
      <c r="B50" s="20"/>
      <c r="C50" s="20"/>
      <c r="D50" s="20"/>
      <c r="E50" s="20"/>
      <c r="F50" s="20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</row>
    <row r="51" spans="1:19">
      <c r="A51" s="20"/>
      <c r="B51" s="20"/>
      <c r="C51" s="20"/>
      <c r="D51" s="20"/>
      <c r="E51" s="20"/>
      <c r="F51" s="20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</row>
  </sheetData>
  <mergeCells count="5">
    <mergeCell ref="A4:F5"/>
    <mergeCell ref="B31:F31"/>
    <mergeCell ref="B2:E2"/>
    <mergeCell ref="A1:B1"/>
    <mergeCell ref="D1:F1"/>
  </mergeCells>
  <pageMargins left="0.4" right="0.4" top="0.5" bottom="0.5" header="0.3" footer="0.3"/>
  <pageSetup paperSize="9" orientation="portrait" r:id="rId1"/>
  <headerFooter>
    <oddFooter>&amp;C
&amp;G&amp;R
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71" r:id="rId5" name="Button 3">
              <controlPr defaultSize="0" print="0" autoFill="0" autoPict="0" macro="[0]!CNC">
                <anchor moveWithCells="1" sizeWithCells="1">
                  <from>
                    <xdr:col>8</xdr:col>
                    <xdr:colOff>342900</xdr:colOff>
                    <xdr:row>5</xdr:row>
                    <xdr:rowOff>171450</xdr:rowOff>
                  </from>
                  <to>
                    <xdr:col>11</xdr:col>
                    <xdr:colOff>123825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FF0000"/>
  </sheetPr>
  <dimension ref="A1:Y51"/>
  <sheetViews>
    <sheetView view="pageBreakPreview" zoomScale="115" zoomScaleNormal="100" zoomScaleSheetLayoutView="115" workbookViewId="0">
      <selection activeCell="E21" sqref="A7:E21"/>
    </sheetView>
  </sheetViews>
  <sheetFormatPr defaultRowHeight="15"/>
  <cols>
    <col min="1" max="1" width="19.7109375" style="1" customWidth="1"/>
    <col min="2" max="2" width="15.7109375" style="1" customWidth="1"/>
    <col min="3" max="3" width="7.7109375" style="1" customWidth="1"/>
    <col min="4" max="4" width="6.7109375" style="1" customWidth="1"/>
    <col min="5" max="5" width="33.7109375" style="73" customWidth="1"/>
    <col min="6" max="6" width="3.7109375" style="1" customWidth="1"/>
    <col min="7" max="7" width="22.140625" customWidth="1"/>
    <col min="8" max="9" width="0.140625" customWidth="1"/>
    <col min="10" max="10" width="6.7109375" customWidth="1"/>
    <col min="11" max="11" width="17" customWidth="1"/>
    <col min="12" max="12" width="6.5703125" customWidth="1"/>
    <col min="13" max="20" width="0.140625" customWidth="1"/>
    <col min="23" max="23" width="30.5703125" customWidth="1"/>
    <col min="24" max="24" width="18.5703125" style="62" customWidth="1"/>
  </cols>
  <sheetData>
    <row r="1" spans="1:25" ht="23.25" customHeight="1" thickBot="1">
      <c r="A1" s="457" t="str">
        <f>CONCATENATE(Data!$D$3,Data!$C$3)</f>
        <v xml:space="preserve">تاریخ : </v>
      </c>
      <c r="B1" s="457"/>
      <c r="C1" s="54"/>
      <c r="D1" s="458" t="str">
        <f>CONCATENATE(Data!$D$2,Data!$C$2)</f>
        <v xml:space="preserve">نام پروژه : </v>
      </c>
      <c r="E1" s="458"/>
      <c r="F1" s="458"/>
      <c r="G1" s="179"/>
      <c r="H1" s="179"/>
      <c r="W1" s="88" t="s">
        <v>125</v>
      </c>
      <c r="X1" s="115" t="s">
        <v>124</v>
      </c>
      <c r="Y1" s="160" t="s">
        <v>14</v>
      </c>
    </row>
    <row r="2" spans="1:25" ht="24" thickBot="1">
      <c r="A2" s="8"/>
      <c r="B2" s="468" t="s">
        <v>87</v>
      </c>
      <c r="C2" s="468"/>
      <c r="D2" s="468"/>
      <c r="E2" s="468"/>
      <c r="F2" s="52"/>
      <c r="K2" s="143"/>
      <c r="W2" s="145" t="s">
        <v>113</v>
      </c>
      <c r="X2" s="146">
        <v>85000</v>
      </c>
      <c r="Y2" s="160" t="s">
        <v>183</v>
      </c>
    </row>
    <row r="3" spans="1:25" ht="21" thickBot="1">
      <c r="A3" s="7" t="s">
        <v>64</v>
      </c>
      <c r="B3" s="465"/>
      <c r="C3" s="465"/>
      <c r="D3" s="465"/>
      <c r="E3" s="465"/>
      <c r="F3" s="9"/>
      <c r="K3" s="144"/>
      <c r="L3" s="112"/>
      <c r="W3" s="86" t="s">
        <v>114</v>
      </c>
      <c r="X3" s="147">
        <v>85000</v>
      </c>
      <c r="Y3" s="160" t="s">
        <v>183</v>
      </c>
    </row>
    <row r="4" spans="1:25" ht="15.75" thickBot="1">
      <c r="A4" s="454"/>
      <c r="B4" s="454"/>
      <c r="C4" s="454"/>
      <c r="D4" s="454"/>
      <c r="E4" s="454"/>
      <c r="F4" s="454"/>
      <c r="W4" s="86" t="s">
        <v>115</v>
      </c>
      <c r="X4" s="147">
        <v>150000</v>
      </c>
      <c r="Y4" s="160" t="s">
        <v>183</v>
      </c>
    </row>
    <row r="5" spans="1:25" ht="15.75" thickBot="1">
      <c r="A5" s="454"/>
      <c r="B5" s="454"/>
      <c r="C5" s="454"/>
      <c r="D5" s="454"/>
      <c r="E5" s="454"/>
      <c r="F5" s="454"/>
      <c r="W5" s="86" t="s">
        <v>116</v>
      </c>
      <c r="X5" s="147">
        <v>110000</v>
      </c>
      <c r="Y5" s="160" t="s">
        <v>183</v>
      </c>
    </row>
    <row r="6" spans="1:25" ht="26.25" customHeight="1" thickBot="1">
      <c r="A6" s="195" t="s">
        <v>12</v>
      </c>
      <c r="B6" s="196" t="s">
        <v>13</v>
      </c>
      <c r="C6" s="196" t="s">
        <v>14</v>
      </c>
      <c r="D6" s="196" t="s">
        <v>34</v>
      </c>
      <c r="E6" s="197" t="s">
        <v>126</v>
      </c>
      <c r="F6" s="198" t="s">
        <v>4</v>
      </c>
      <c r="W6" s="86" t="s">
        <v>0</v>
      </c>
      <c r="X6" s="148">
        <v>85000</v>
      </c>
      <c r="Y6" s="160" t="s">
        <v>183</v>
      </c>
    </row>
    <row r="7" spans="1:25" ht="16.5" thickBot="1">
      <c r="A7" s="211"/>
      <c r="B7" s="114"/>
      <c r="C7" s="80"/>
      <c r="D7" s="81"/>
      <c r="E7" s="81"/>
      <c r="F7" s="113">
        <v>1</v>
      </c>
      <c r="H7">
        <v>1</v>
      </c>
      <c r="I7" s="62">
        <v>1.3992</v>
      </c>
      <c r="W7" s="86" t="s">
        <v>1</v>
      </c>
      <c r="X7" s="147">
        <v>85000</v>
      </c>
      <c r="Y7" s="160" t="s">
        <v>183</v>
      </c>
    </row>
    <row r="8" spans="1:25" ht="16.5" thickBot="1">
      <c r="A8" s="211"/>
      <c r="B8" s="114"/>
      <c r="C8" s="80"/>
      <c r="D8" s="81"/>
      <c r="E8" s="81"/>
      <c r="F8" s="84">
        <v>2</v>
      </c>
      <c r="H8">
        <v>1</v>
      </c>
      <c r="I8" s="62">
        <v>0.42727999999999999</v>
      </c>
      <c r="W8" s="86" t="s">
        <v>152</v>
      </c>
      <c r="X8" s="147">
        <v>110000</v>
      </c>
      <c r="Y8" s="160" t="s">
        <v>183</v>
      </c>
    </row>
    <row r="9" spans="1:25" ht="16.5" thickBot="1">
      <c r="A9" s="211"/>
      <c r="B9" s="114"/>
      <c r="C9" s="80"/>
      <c r="D9" s="81"/>
      <c r="E9" s="81"/>
      <c r="F9" s="84">
        <v>3</v>
      </c>
      <c r="H9">
        <v>1</v>
      </c>
      <c r="I9" s="62">
        <v>3</v>
      </c>
      <c r="W9" s="86"/>
      <c r="X9" s="147"/>
      <c r="Y9" s="160" t="s">
        <v>183</v>
      </c>
    </row>
    <row r="10" spans="1:25" ht="16.5" thickBot="1">
      <c r="A10" s="211"/>
      <c r="B10" s="114"/>
      <c r="C10" s="80"/>
      <c r="D10" s="81"/>
      <c r="E10" s="81"/>
      <c r="F10" s="152">
        <v>4</v>
      </c>
      <c r="H10">
        <v>1</v>
      </c>
      <c r="I10" s="62">
        <v>3.74</v>
      </c>
      <c r="W10" s="86"/>
      <c r="X10" s="148"/>
      <c r="Y10" s="160" t="s">
        <v>183</v>
      </c>
    </row>
    <row r="11" spans="1:25" ht="16.5" thickBot="1">
      <c r="A11" s="211"/>
      <c r="B11" s="114"/>
      <c r="C11" s="80"/>
      <c r="D11" s="81"/>
      <c r="E11" s="81"/>
      <c r="F11" s="153">
        <v>5</v>
      </c>
      <c r="H11">
        <v>1</v>
      </c>
      <c r="I11" s="62">
        <v>0.9</v>
      </c>
      <c r="W11" s="86"/>
      <c r="X11" s="147"/>
      <c r="Y11" s="160" t="s">
        <v>183</v>
      </c>
    </row>
    <row r="12" spans="1:25" ht="16.5" thickBot="1">
      <c r="A12" s="211"/>
      <c r="B12" s="114"/>
      <c r="C12" s="80"/>
      <c r="D12" s="81"/>
      <c r="E12" s="81"/>
      <c r="F12" s="153">
        <v>6</v>
      </c>
      <c r="H12">
        <v>1</v>
      </c>
      <c r="I12" s="62">
        <v>1.9611099999999999</v>
      </c>
      <c r="W12" s="86"/>
      <c r="X12" s="147"/>
      <c r="Y12" s="160" t="s">
        <v>183</v>
      </c>
    </row>
    <row r="13" spans="1:25" ht="16.5" thickBot="1">
      <c r="A13" s="211"/>
      <c r="B13" s="114"/>
      <c r="C13" s="80"/>
      <c r="D13" s="81"/>
      <c r="E13" s="81"/>
      <c r="F13" s="153">
        <v>7</v>
      </c>
      <c r="H13">
        <v>1</v>
      </c>
      <c r="I13" s="62">
        <v>0.85</v>
      </c>
      <c r="W13" s="86"/>
      <c r="X13" s="147"/>
      <c r="Y13" s="160" t="s">
        <v>183</v>
      </c>
    </row>
    <row r="14" spans="1:25" ht="16.5" thickBot="1">
      <c r="A14" s="211"/>
      <c r="B14" s="114"/>
      <c r="C14" s="80"/>
      <c r="D14" s="81"/>
      <c r="E14" s="81"/>
      <c r="F14" s="153">
        <v>8</v>
      </c>
      <c r="H14">
        <v>1</v>
      </c>
      <c r="I14" s="62">
        <v>5.83</v>
      </c>
      <c r="W14" s="86"/>
      <c r="X14" s="148"/>
      <c r="Y14" s="160" t="s">
        <v>183</v>
      </c>
    </row>
    <row r="15" spans="1:25" ht="16.5" thickBot="1">
      <c r="A15" s="211"/>
      <c r="B15" s="114"/>
      <c r="C15" s="80"/>
      <c r="D15" s="81"/>
      <c r="E15" s="81"/>
      <c r="F15" s="153">
        <v>9</v>
      </c>
      <c r="H15">
        <v>1</v>
      </c>
      <c r="I15" s="62">
        <v>13.22</v>
      </c>
      <c r="W15" s="86"/>
      <c r="X15" s="147"/>
      <c r="Y15" s="160" t="s">
        <v>183</v>
      </c>
    </row>
    <row r="16" spans="1:25" ht="16.5" thickBot="1">
      <c r="A16" s="211"/>
      <c r="B16" s="114"/>
      <c r="C16" s="80"/>
      <c r="D16" s="81"/>
      <c r="E16" s="81"/>
      <c r="F16" s="153">
        <v>10</v>
      </c>
      <c r="H16">
        <v>1</v>
      </c>
      <c r="I16" s="62">
        <v>14.616</v>
      </c>
      <c r="W16" s="86"/>
      <c r="X16" s="147"/>
      <c r="Y16" s="160" t="s">
        <v>183</v>
      </c>
    </row>
    <row r="17" spans="1:25" ht="16.5" thickBot="1">
      <c r="A17" s="211"/>
      <c r="B17" s="114"/>
      <c r="C17" s="80"/>
      <c r="D17" s="81"/>
      <c r="E17" s="81"/>
      <c r="F17" s="153">
        <v>11</v>
      </c>
      <c r="H17">
        <v>1.3</v>
      </c>
      <c r="I17" s="62">
        <v>123.61939000000004</v>
      </c>
      <c r="W17" s="86"/>
      <c r="X17" s="147"/>
      <c r="Y17" s="160" t="s">
        <v>183</v>
      </c>
    </row>
    <row r="18" spans="1:25" ht="16.5" thickBot="1">
      <c r="A18" s="211"/>
      <c r="B18" s="114"/>
      <c r="C18" s="80"/>
      <c r="D18" s="81"/>
      <c r="E18" s="81"/>
      <c r="F18" s="153">
        <v>12</v>
      </c>
      <c r="W18" s="86"/>
      <c r="X18" s="148"/>
      <c r="Y18" s="160" t="s">
        <v>183</v>
      </c>
    </row>
    <row r="19" spans="1:25" ht="16.5" thickBot="1">
      <c r="A19" s="211"/>
      <c r="B19" s="114"/>
      <c r="C19" s="80"/>
      <c r="D19" s="81"/>
      <c r="E19" s="81"/>
      <c r="F19" s="153">
        <v>13</v>
      </c>
      <c r="W19" s="86"/>
      <c r="X19" s="147"/>
      <c r="Y19" s="160" t="s">
        <v>183</v>
      </c>
    </row>
    <row r="20" spans="1:25" ht="16.5" thickBot="1">
      <c r="A20" s="211"/>
      <c r="B20" s="114"/>
      <c r="C20" s="80"/>
      <c r="D20" s="81"/>
      <c r="E20" s="81"/>
      <c r="F20" s="153">
        <v>14</v>
      </c>
      <c r="W20" s="86"/>
      <c r="X20" s="147"/>
      <c r="Y20" s="160" t="s">
        <v>183</v>
      </c>
    </row>
    <row r="21" spans="1:25" ht="16.5" thickBot="1">
      <c r="A21" s="211"/>
      <c r="B21" s="114"/>
      <c r="C21" s="80"/>
      <c r="D21" s="81"/>
      <c r="E21" s="81"/>
      <c r="F21" s="153">
        <v>15</v>
      </c>
      <c r="W21" s="86"/>
      <c r="X21" s="147"/>
      <c r="Y21" s="160" t="s">
        <v>183</v>
      </c>
    </row>
    <row r="22" spans="1:25" ht="16.5" thickBot="1">
      <c r="A22" s="211"/>
      <c r="B22" s="114"/>
      <c r="C22" s="80"/>
      <c r="D22" s="81"/>
      <c r="E22" s="81"/>
      <c r="F22" s="82">
        <v>16</v>
      </c>
      <c r="W22" s="86"/>
      <c r="X22" s="148"/>
      <c r="Y22" s="160" t="s">
        <v>183</v>
      </c>
    </row>
    <row r="23" spans="1:25" ht="16.5" thickBot="1">
      <c r="A23" s="211"/>
      <c r="B23" s="114"/>
      <c r="C23" s="80"/>
      <c r="D23" s="81"/>
      <c r="E23" s="81"/>
      <c r="F23" s="82">
        <v>17</v>
      </c>
      <c r="W23" s="86"/>
      <c r="X23" s="147"/>
      <c r="Y23" s="160" t="s">
        <v>183</v>
      </c>
    </row>
    <row r="24" spans="1:25" ht="16.5" thickBot="1">
      <c r="A24" s="211"/>
      <c r="B24" s="114"/>
      <c r="C24" s="80"/>
      <c r="D24" s="81"/>
      <c r="E24" s="81"/>
      <c r="F24" s="82">
        <v>18</v>
      </c>
      <c r="W24" s="86"/>
      <c r="X24" s="147"/>
      <c r="Y24" s="160" t="s">
        <v>183</v>
      </c>
    </row>
    <row r="25" spans="1:25" ht="16.5" thickBot="1">
      <c r="A25" s="211"/>
      <c r="B25" s="114"/>
      <c r="C25" s="80"/>
      <c r="D25" s="81"/>
      <c r="E25" s="81"/>
      <c r="F25" s="82">
        <v>19</v>
      </c>
      <c r="W25" s="87"/>
      <c r="X25" s="149"/>
      <c r="Y25" s="160" t="s">
        <v>183</v>
      </c>
    </row>
    <row r="26" spans="1:25" ht="15.75">
      <c r="A26" s="211"/>
      <c r="B26" s="114"/>
      <c r="C26" s="80"/>
      <c r="D26" s="81"/>
      <c r="E26" s="81"/>
      <c r="F26" s="82">
        <v>20</v>
      </c>
    </row>
    <row r="27" spans="1:25" ht="15.75">
      <c r="A27" s="211"/>
      <c r="B27" s="114"/>
      <c r="C27" s="80"/>
      <c r="D27" s="81"/>
      <c r="E27" s="81"/>
      <c r="F27" s="82">
        <v>21</v>
      </c>
    </row>
    <row r="28" spans="1:25" ht="15.75">
      <c r="A28" s="211"/>
      <c r="B28" s="114"/>
      <c r="C28" s="80"/>
      <c r="D28" s="81"/>
      <c r="E28" s="81"/>
      <c r="F28" s="82">
        <v>22</v>
      </c>
    </row>
    <row r="29" spans="1:25" ht="15.75">
      <c r="A29" s="211"/>
      <c r="B29" s="114"/>
      <c r="C29" s="80"/>
      <c r="D29" s="81"/>
      <c r="E29" s="81"/>
      <c r="F29" s="82">
        <v>23</v>
      </c>
    </row>
    <row r="30" spans="1:25" ht="16.5" thickBot="1">
      <c r="A30" s="211"/>
      <c r="B30" s="114"/>
      <c r="C30" s="80"/>
      <c r="D30" s="81"/>
      <c r="E30" s="81"/>
      <c r="F30" s="83">
        <v>24</v>
      </c>
    </row>
    <row r="31" spans="1:25" ht="24" customHeight="1" thickBot="1">
      <c r="A31" s="375">
        <f>SUM(A7:A30)</f>
        <v>0</v>
      </c>
      <c r="B31" s="466" t="s">
        <v>16</v>
      </c>
      <c r="C31" s="466"/>
      <c r="D31" s="466"/>
      <c r="E31" s="466"/>
      <c r="F31" s="467"/>
    </row>
    <row r="32" spans="1:25">
      <c r="A32" s="20"/>
      <c r="B32" s="20"/>
      <c r="C32" s="20"/>
      <c r="D32" s="20"/>
      <c r="F32" s="20"/>
    </row>
    <row r="33" spans="1:6">
      <c r="A33" s="20"/>
      <c r="B33" s="20"/>
      <c r="C33" s="20"/>
      <c r="D33" s="20"/>
      <c r="F33" s="20"/>
    </row>
    <row r="34" spans="1:6">
      <c r="A34" s="20"/>
      <c r="B34" s="20"/>
      <c r="C34" s="20"/>
      <c r="D34" s="20"/>
      <c r="F34" s="20"/>
    </row>
    <row r="35" spans="1:6">
      <c r="A35" s="20"/>
      <c r="B35" s="20"/>
      <c r="C35" s="20"/>
      <c r="D35" s="20"/>
      <c r="F35" s="20"/>
    </row>
    <row r="36" spans="1:6">
      <c r="A36" s="20"/>
      <c r="B36" s="20"/>
      <c r="C36" s="20"/>
      <c r="D36" s="20"/>
      <c r="F36" s="20"/>
    </row>
    <row r="37" spans="1:6">
      <c r="A37" s="20"/>
      <c r="B37" s="20"/>
      <c r="C37" s="20"/>
      <c r="D37" s="20"/>
      <c r="F37" s="20"/>
    </row>
    <row r="38" spans="1:6">
      <c r="A38" s="20"/>
      <c r="B38" s="20"/>
      <c r="C38" s="20"/>
      <c r="D38" s="20"/>
      <c r="F38" s="20"/>
    </row>
    <row r="39" spans="1:6">
      <c r="A39" s="20"/>
      <c r="B39" s="20"/>
      <c r="C39" s="20"/>
      <c r="D39" s="20"/>
      <c r="F39" s="20"/>
    </row>
    <row r="40" spans="1:6">
      <c r="A40" s="20"/>
      <c r="B40" s="20"/>
      <c r="C40" s="20"/>
      <c r="D40" s="20"/>
      <c r="F40" s="20"/>
    </row>
    <row r="41" spans="1:6">
      <c r="A41" s="20"/>
      <c r="B41" s="20"/>
      <c r="C41" s="20"/>
      <c r="D41" s="20"/>
      <c r="F41" s="20"/>
    </row>
    <row r="42" spans="1:6">
      <c r="A42" s="20"/>
      <c r="B42" s="20"/>
      <c r="C42" s="20"/>
      <c r="D42" s="20"/>
      <c r="F42" s="20"/>
    </row>
    <row r="43" spans="1:6">
      <c r="A43" s="20"/>
      <c r="B43" s="20"/>
      <c r="C43" s="20"/>
      <c r="D43" s="20"/>
      <c r="F43" s="20"/>
    </row>
    <row r="44" spans="1:6">
      <c r="A44" s="20"/>
      <c r="B44" s="20"/>
      <c r="C44" s="20"/>
      <c r="D44" s="20"/>
      <c r="F44" s="20"/>
    </row>
    <row r="45" spans="1:6">
      <c r="A45" s="20"/>
      <c r="B45" s="20"/>
      <c r="C45" s="20"/>
      <c r="D45" s="20"/>
      <c r="F45" s="20"/>
    </row>
    <row r="46" spans="1:6">
      <c r="A46" s="20"/>
      <c r="B46" s="20"/>
      <c r="C46" s="20"/>
      <c r="D46" s="20"/>
      <c r="F46" s="20"/>
    </row>
    <row r="47" spans="1:6">
      <c r="A47" s="20"/>
      <c r="B47" s="20"/>
      <c r="C47" s="20"/>
      <c r="D47" s="20"/>
      <c r="F47" s="20"/>
    </row>
    <row r="48" spans="1:6">
      <c r="A48" s="20"/>
      <c r="B48" s="20"/>
      <c r="C48" s="20"/>
      <c r="D48" s="20"/>
      <c r="F48" s="20"/>
    </row>
    <row r="49" spans="1:6">
      <c r="A49" s="20"/>
      <c r="B49" s="20"/>
      <c r="C49" s="20"/>
      <c r="D49" s="20"/>
      <c r="F49" s="20"/>
    </row>
    <row r="50" spans="1:6">
      <c r="A50" s="20"/>
      <c r="B50" s="20"/>
      <c r="C50" s="20"/>
      <c r="D50" s="20"/>
      <c r="F50" s="20"/>
    </row>
    <row r="51" spans="1:6">
      <c r="A51" s="20"/>
      <c r="B51" s="20"/>
      <c r="C51" s="20"/>
      <c r="D51" s="20"/>
      <c r="F51" s="20"/>
    </row>
  </sheetData>
  <mergeCells count="6">
    <mergeCell ref="B3:E3"/>
    <mergeCell ref="A4:F5"/>
    <mergeCell ref="B31:F31"/>
    <mergeCell ref="B2:E2"/>
    <mergeCell ref="A1:B1"/>
    <mergeCell ref="D1:F1"/>
  </mergeCells>
  <pageMargins left="0.4" right="0.4" top="0.5" bottom="0.5" header="0.3" footer="0.3"/>
  <pageSetup paperSize="9" orientation="portrait" r:id="rId1"/>
  <headerFooter>
    <oddFooter>&amp;C
&amp;G&amp;R
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NavarShiarFarsi">
                <anchor moveWithCells="1" sizeWithCells="1">
                  <from>
                    <xdr:col>9</xdr:col>
                    <xdr:colOff>323850</xdr:colOff>
                    <xdr:row>4</xdr:row>
                    <xdr:rowOff>9525</xdr:rowOff>
                  </from>
                  <to>
                    <xdr:col>11</xdr:col>
                    <xdr:colOff>276225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0000"/>
  </sheetPr>
  <dimension ref="A1:Y44"/>
  <sheetViews>
    <sheetView view="pageBreakPreview" zoomScaleNormal="100" zoomScaleSheetLayoutView="100" workbookViewId="0">
      <selection activeCell="E14" sqref="A7:E14"/>
    </sheetView>
  </sheetViews>
  <sheetFormatPr defaultColWidth="8.85546875" defaultRowHeight="15"/>
  <cols>
    <col min="1" max="1" width="20.7109375" style="1" customWidth="1"/>
    <col min="2" max="2" width="15.7109375" style="1" customWidth="1"/>
    <col min="3" max="3" width="7.7109375" style="1" customWidth="1"/>
    <col min="4" max="4" width="6.7109375" style="1" customWidth="1"/>
    <col min="5" max="5" width="33.7109375" style="1" customWidth="1"/>
    <col min="6" max="6" width="3.7109375" style="1" customWidth="1"/>
    <col min="7" max="13" width="8.85546875" style="1"/>
    <col min="14" max="21" width="2.5703125" style="1" customWidth="1"/>
    <col min="22" max="22" width="8.85546875" style="1"/>
    <col min="23" max="23" width="20.140625" style="1" customWidth="1"/>
    <col min="24" max="24" width="19.140625" style="1" customWidth="1"/>
    <col min="25" max="25" width="13" style="1" customWidth="1"/>
    <col min="26" max="16384" width="8.85546875" style="1"/>
  </cols>
  <sheetData>
    <row r="1" spans="1:25" ht="31.5" customHeight="1" thickBot="1">
      <c r="A1" s="457" t="str">
        <f>CONCATENATE(Data!$D$3,Data!$C$3)</f>
        <v xml:space="preserve">تاریخ : </v>
      </c>
      <c r="B1" s="457"/>
      <c r="C1" s="54"/>
      <c r="D1" s="458" t="str">
        <f>CONCATENATE(Data!$D$2,Data!$C$2)</f>
        <v xml:space="preserve">نام پروژه : </v>
      </c>
      <c r="E1" s="458"/>
      <c r="F1" s="45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W1" s="53" t="s">
        <v>69</v>
      </c>
      <c r="X1" s="53" t="s">
        <v>91</v>
      </c>
      <c r="Y1" s="160" t="s">
        <v>14</v>
      </c>
    </row>
    <row r="2" spans="1:25" ht="23.25" customHeight="1" thickBot="1">
      <c r="A2" s="8"/>
      <c r="B2" s="470" t="s">
        <v>66</v>
      </c>
      <c r="C2" s="470"/>
      <c r="D2" s="470"/>
      <c r="E2" s="470"/>
      <c r="F2" s="9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W2" s="194" t="s">
        <v>70</v>
      </c>
      <c r="X2" s="57">
        <v>200000</v>
      </c>
      <c r="Y2" s="160" t="s">
        <v>24</v>
      </c>
    </row>
    <row r="3" spans="1:25" ht="21" thickBot="1">
      <c r="A3" s="7" t="s">
        <v>95</v>
      </c>
      <c r="B3" s="465"/>
      <c r="C3" s="465"/>
      <c r="D3" s="465"/>
      <c r="E3" s="465"/>
      <c r="F3" s="9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W3" s="55" t="s">
        <v>71</v>
      </c>
      <c r="X3" s="57">
        <v>150000</v>
      </c>
      <c r="Y3" s="160" t="s">
        <v>24</v>
      </c>
    </row>
    <row r="4" spans="1:25" ht="18.75" thickBot="1">
      <c r="A4" s="454"/>
      <c r="B4" s="454"/>
      <c r="C4" s="454"/>
      <c r="D4" s="454"/>
      <c r="E4" s="454"/>
      <c r="F4" s="454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W4" s="55" t="s">
        <v>30</v>
      </c>
      <c r="X4" s="57">
        <v>700000</v>
      </c>
      <c r="Y4" s="160" t="s">
        <v>184</v>
      </c>
    </row>
    <row r="5" spans="1:25" ht="18.75" thickBot="1">
      <c r="A5" s="454"/>
      <c r="B5" s="454"/>
      <c r="C5" s="454"/>
      <c r="D5" s="454"/>
      <c r="E5" s="454"/>
      <c r="F5" s="454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W5" s="55" t="s">
        <v>72</v>
      </c>
      <c r="X5" s="57">
        <v>600000</v>
      </c>
      <c r="Y5" s="160" t="s">
        <v>184</v>
      </c>
    </row>
    <row r="6" spans="1:25" ht="29.25" customHeight="1" thickBot="1">
      <c r="A6" s="195" t="s">
        <v>12</v>
      </c>
      <c r="B6" s="196" t="s">
        <v>20</v>
      </c>
      <c r="C6" s="196" t="s">
        <v>14</v>
      </c>
      <c r="D6" s="196" t="s">
        <v>27</v>
      </c>
      <c r="E6" s="197" t="s">
        <v>29</v>
      </c>
      <c r="F6" s="198" t="s">
        <v>4</v>
      </c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W6" s="55" t="s">
        <v>31</v>
      </c>
      <c r="X6" s="57">
        <v>550000</v>
      </c>
      <c r="Y6" s="160" t="s">
        <v>184</v>
      </c>
    </row>
    <row r="7" spans="1:25" ht="18.75" thickBot="1">
      <c r="A7" s="264"/>
      <c r="B7" s="376"/>
      <c r="C7" s="62"/>
      <c r="D7" s="78"/>
      <c r="E7" s="77"/>
      <c r="F7" s="180">
        <v>1</v>
      </c>
      <c r="G7" s="91"/>
      <c r="H7" s="92"/>
      <c r="I7" s="92"/>
      <c r="J7" s="18"/>
      <c r="K7" s="18"/>
      <c r="L7" s="18"/>
      <c r="M7" s="18"/>
      <c r="N7" s="18"/>
      <c r="O7" s="18"/>
      <c r="P7" s="18"/>
      <c r="Q7" s="18"/>
      <c r="R7" s="18"/>
      <c r="S7" s="18"/>
      <c r="W7" s="55" t="s">
        <v>73</v>
      </c>
      <c r="X7" s="57">
        <v>500000</v>
      </c>
      <c r="Y7" s="160" t="s">
        <v>184</v>
      </c>
    </row>
    <row r="8" spans="1:25" ht="18.75" thickBot="1">
      <c r="A8" s="264"/>
      <c r="B8" s="376"/>
      <c r="C8" s="62"/>
      <c r="D8" s="78"/>
      <c r="E8" s="77"/>
      <c r="F8" s="181">
        <v>2</v>
      </c>
      <c r="G8" s="91"/>
      <c r="H8" s="92"/>
      <c r="I8" s="92"/>
      <c r="J8" s="18"/>
      <c r="K8" s="18"/>
      <c r="L8" s="18"/>
      <c r="M8" s="18"/>
      <c r="N8" s="18"/>
      <c r="O8" s="18"/>
      <c r="P8" s="18"/>
      <c r="Q8" s="18"/>
      <c r="R8" s="18"/>
      <c r="S8" s="18"/>
      <c r="W8" s="55" t="s">
        <v>32</v>
      </c>
      <c r="X8" s="57">
        <v>450000</v>
      </c>
      <c r="Y8" s="160" t="s">
        <v>184</v>
      </c>
    </row>
    <row r="9" spans="1:25" ht="18.75" thickBot="1">
      <c r="A9" s="264"/>
      <c r="B9" s="376"/>
      <c r="C9" s="62"/>
      <c r="D9" s="78"/>
      <c r="E9" s="77"/>
      <c r="F9" s="181">
        <v>3</v>
      </c>
      <c r="G9" s="91"/>
      <c r="H9" s="92"/>
      <c r="I9" s="92"/>
      <c r="J9" s="18"/>
      <c r="K9" s="18"/>
      <c r="L9" s="18"/>
      <c r="M9" s="18"/>
      <c r="N9" s="18"/>
      <c r="O9" s="18"/>
      <c r="P9" s="18"/>
      <c r="Q9" s="18"/>
      <c r="R9" s="18"/>
      <c r="S9" s="18"/>
      <c r="W9" s="55" t="s">
        <v>74</v>
      </c>
      <c r="X9" s="57">
        <v>400000</v>
      </c>
      <c r="Y9" s="160" t="s">
        <v>184</v>
      </c>
    </row>
    <row r="10" spans="1:25" s="3" customFormat="1" ht="18.75" thickBot="1">
      <c r="A10" s="264"/>
      <c r="B10" s="376"/>
      <c r="C10" s="62"/>
      <c r="D10" s="78"/>
      <c r="E10" s="77"/>
      <c r="F10" s="181">
        <v>4</v>
      </c>
      <c r="G10" s="91"/>
      <c r="H10" s="92"/>
      <c r="I10" s="92"/>
      <c r="J10" s="19"/>
      <c r="K10" s="19"/>
      <c r="L10" s="19"/>
      <c r="M10" s="19"/>
      <c r="N10" s="19"/>
      <c r="O10" s="19"/>
      <c r="P10" s="19"/>
      <c r="Q10" s="19"/>
      <c r="R10" s="19"/>
      <c r="S10" s="19"/>
      <c r="W10" s="55" t="s">
        <v>33</v>
      </c>
      <c r="X10" s="57">
        <v>250000</v>
      </c>
      <c r="Y10" s="160" t="s">
        <v>24</v>
      </c>
    </row>
    <row r="11" spans="1:25" s="3" customFormat="1" ht="18.75" thickBot="1">
      <c r="A11" s="264"/>
      <c r="B11" s="376"/>
      <c r="C11" s="78"/>
      <c r="D11" s="78"/>
      <c r="E11" s="77"/>
      <c r="F11" s="181">
        <v>5</v>
      </c>
      <c r="G11" s="91"/>
      <c r="H11" s="92"/>
      <c r="I11" s="92"/>
      <c r="J11" s="19"/>
      <c r="K11" s="19"/>
      <c r="L11" s="19"/>
      <c r="M11" s="19"/>
      <c r="N11" s="19"/>
      <c r="O11" s="19"/>
      <c r="P11" s="19"/>
      <c r="Q11" s="19"/>
      <c r="R11" s="19"/>
      <c r="S11" s="19"/>
      <c r="W11" s="55" t="s">
        <v>75</v>
      </c>
      <c r="X11" s="57">
        <v>450000</v>
      </c>
      <c r="Y11" s="160" t="s">
        <v>24</v>
      </c>
    </row>
    <row r="12" spans="1:25" ht="18.75" thickBot="1">
      <c r="A12" s="264"/>
      <c r="B12" s="376"/>
      <c r="C12" s="78"/>
      <c r="D12" s="78"/>
      <c r="E12" s="77"/>
      <c r="F12" s="181">
        <v>6</v>
      </c>
      <c r="G12" s="91"/>
      <c r="H12" s="92"/>
      <c r="I12" s="92"/>
      <c r="J12" s="18"/>
      <c r="K12" s="18"/>
      <c r="L12" s="18"/>
      <c r="M12" s="18"/>
      <c r="N12" s="18"/>
      <c r="O12" s="18"/>
      <c r="P12" s="18"/>
      <c r="Q12" s="18"/>
      <c r="R12" s="18"/>
      <c r="S12" s="18"/>
      <c r="W12" s="55" t="s">
        <v>76</v>
      </c>
      <c r="X12" s="57">
        <v>350000</v>
      </c>
      <c r="Y12" s="160" t="s">
        <v>24</v>
      </c>
    </row>
    <row r="13" spans="1:25" ht="18.75" thickBot="1">
      <c r="A13" s="264"/>
      <c r="B13" s="376"/>
      <c r="C13" s="77"/>
      <c r="D13" s="77"/>
      <c r="E13" s="77"/>
      <c r="F13" s="181">
        <v>7</v>
      </c>
      <c r="G13" s="91"/>
      <c r="H13" s="92"/>
      <c r="I13" s="92"/>
      <c r="J13" s="18"/>
      <c r="K13" s="18"/>
      <c r="L13" s="18"/>
      <c r="M13" s="18"/>
      <c r="N13" s="18"/>
      <c r="O13" s="18"/>
      <c r="P13" s="18"/>
      <c r="Q13" s="18"/>
      <c r="R13" s="18"/>
      <c r="S13" s="18"/>
      <c r="W13" s="55" t="s">
        <v>77</v>
      </c>
      <c r="X13" s="57">
        <v>200000</v>
      </c>
      <c r="Y13" s="160" t="s">
        <v>24</v>
      </c>
    </row>
    <row r="14" spans="1:25" ht="18.75" thickBot="1">
      <c r="A14" s="264"/>
      <c r="B14" s="376"/>
      <c r="C14" s="77"/>
      <c r="D14" s="77"/>
      <c r="E14" s="77"/>
      <c r="F14" s="181">
        <v>8</v>
      </c>
      <c r="G14" s="91"/>
      <c r="H14" s="92"/>
      <c r="I14" s="92"/>
      <c r="J14" s="18"/>
      <c r="K14" s="18"/>
      <c r="L14" s="18"/>
      <c r="N14" s="18"/>
      <c r="O14" s="18"/>
      <c r="P14" s="18"/>
      <c r="Q14" s="18"/>
      <c r="R14" s="18"/>
      <c r="S14" s="18"/>
      <c r="W14" s="55" t="s">
        <v>78</v>
      </c>
      <c r="X14" s="57">
        <v>1500000</v>
      </c>
      <c r="Y14" s="160" t="s">
        <v>24</v>
      </c>
    </row>
    <row r="15" spans="1:25" ht="18.75" thickBot="1">
      <c r="A15" s="264"/>
      <c r="B15" s="376"/>
      <c r="C15" s="77"/>
      <c r="D15" s="77"/>
      <c r="E15" s="77"/>
      <c r="F15" s="181">
        <v>9</v>
      </c>
      <c r="G15" s="91"/>
      <c r="H15" s="92"/>
      <c r="I15" s="92"/>
      <c r="J15" s="18"/>
      <c r="K15" s="18"/>
      <c r="L15" s="18"/>
      <c r="M15" s="18"/>
      <c r="N15" s="18"/>
      <c r="O15" s="18"/>
      <c r="P15" s="18"/>
      <c r="Q15" s="18"/>
      <c r="R15" s="18"/>
      <c r="S15" s="18"/>
      <c r="W15" s="55" t="s">
        <v>79</v>
      </c>
      <c r="X15" s="57">
        <v>600000</v>
      </c>
      <c r="Y15" s="160" t="s">
        <v>24</v>
      </c>
    </row>
    <row r="16" spans="1:25" ht="18.75" thickBot="1">
      <c r="A16" s="264"/>
      <c r="B16" s="376"/>
      <c r="C16" s="77"/>
      <c r="D16" s="77"/>
      <c r="E16" s="77"/>
      <c r="F16" s="181">
        <v>10</v>
      </c>
      <c r="G16" s="91"/>
      <c r="H16" s="92"/>
      <c r="I16" s="92"/>
      <c r="J16" s="18"/>
      <c r="K16" s="18"/>
      <c r="L16" s="18"/>
      <c r="M16" s="18"/>
      <c r="N16" s="18"/>
      <c r="O16" s="18"/>
      <c r="P16" s="18"/>
      <c r="Q16" s="18"/>
      <c r="R16" s="18"/>
      <c r="S16" s="18"/>
      <c r="W16" s="55" t="s">
        <v>80</v>
      </c>
      <c r="X16" s="57">
        <v>3500000</v>
      </c>
      <c r="Y16" s="160" t="s">
        <v>24</v>
      </c>
    </row>
    <row r="17" spans="1:25" ht="18.75" thickBot="1">
      <c r="A17" s="264"/>
      <c r="B17" s="376"/>
      <c r="C17" s="265"/>
      <c r="D17" s="78"/>
      <c r="E17" s="77"/>
      <c r="F17" s="181">
        <v>11</v>
      </c>
      <c r="G17" s="91"/>
      <c r="H17" s="92"/>
      <c r="I17" s="92"/>
      <c r="J17" s="18"/>
      <c r="K17" s="18"/>
      <c r="L17" s="18"/>
      <c r="M17" s="18"/>
      <c r="N17" s="18"/>
      <c r="O17" s="18"/>
      <c r="P17" s="18"/>
      <c r="Q17" s="18"/>
      <c r="R17" s="18"/>
      <c r="S17" s="18"/>
      <c r="W17" s="55" t="s">
        <v>81</v>
      </c>
      <c r="X17" s="57">
        <v>3500000</v>
      </c>
      <c r="Y17" s="160" t="s">
        <v>24</v>
      </c>
    </row>
    <row r="18" spans="1:25" ht="18.75" thickBot="1">
      <c r="A18" s="264"/>
      <c r="B18" s="376"/>
      <c r="C18" s="265"/>
      <c r="D18" s="78"/>
      <c r="E18" s="77"/>
      <c r="F18" s="181">
        <v>12</v>
      </c>
      <c r="G18" s="91"/>
      <c r="H18" s="92"/>
      <c r="I18" s="92"/>
      <c r="J18" s="18"/>
      <c r="K18" s="18"/>
      <c r="L18" s="18"/>
      <c r="M18" s="18"/>
      <c r="N18" s="18"/>
      <c r="O18" s="18"/>
      <c r="P18" s="18"/>
      <c r="Q18" s="18"/>
      <c r="R18" s="18"/>
      <c r="S18" s="18"/>
      <c r="W18" s="55" t="s">
        <v>82</v>
      </c>
      <c r="X18" s="57">
        <v>1200000</v>
      </c>
      <c r="Y18" s="160" t="s">
        <v>24</v>
      </c>
    </row>
    <row r="19" spans="1:25" ht="18.75" thickBot="1">
      <c r="A19" s="264"/>
      <c r="B19" s="376"/>
      <c r="C19" s="265"/>
      <c r="D19" s="77"/>
      <c r="E19" s="77"/>
      <c r="F19" s="181">
        <v>13</v>
      </c>
      <c r="G19" s="91"/>
      <c r="H19" s="92"/>
      <c r="I19" s="92"/>
      <c r="J19" s="18"/>
      <c r="K19" s="18"/>
      <c r="L19" s="18"/>
      <c r="M19" s="18"/>
      <c r="N19" s="18"/>
      <c r="O19" s="18"/>
      <c r="P19" s="18"/>
      <c r="Q19" s="18"/>
      <c r="R19" s="18"/>
      <c r="S19" s="18"/>
      <c r="W19" s="55" t="s">
        <v>83</v>
      </c>
      <c r="X19" s="57">
        <v>1200000</v>
      </c>
      <c r="Y19" s="160" t="s">
        <v>24</v>
      </c>
    </row>
    <row r="20" spans="1:25" ht="18.75" thickBot="1">
      <c r="A20" s="264"/>
      <c r="B20" s="376"/>
      <c r="C20" s="265"/>
      <c r="D20" s="77"/>
      <c r="E20" s="77"/>
      <c r="F20" s="181">
        <v>14</v>
      </c>
      <c r="G20" s="91"/>
      <c r="H20" s="92"/>
      <c r="I20" s="92"/>
      <c r="J20" s="18"/>
      <c r="K20" s="18"/>
      <c r="L20" s="18"/>
      <c r="M20" s="18"/>
      <c r="N20" s="18"/>
      <c r="O20" s="18"/>
      <c r="P20" s="18"/>
      <c r="Q20" s="18"/>
      <c r="R20" s="18"/>
      <c r="S20" s="18"/>
      <c r="W20" s="56" t="s">
        <v>85</v>
      </c>
      <c r="X20" s="57">
        <v>120000</v>
      </c>
      <c r="Y20" s="160" t="s">
        <v>24</v>
      </c>
    </row>
    <row r="21" spans="1:25" ht="18.75" thickBot="1">
      <c r="A21" s="264"/>
      <c r="B21" s="376"/>
      <c r="C21" s="265"/>
      <c r="D21" s="77"/>
      <c r="E21" s="77"/>
      <c r="F21" s="181">
        <v>15</v>
      </c>
      <c r="G21" s="91"/>
      <c r="H21" s="92"/>
      <c r="I21" s="92"/>
      <c r="J21" s="18"/>
      <c r="K21" s="18"/>
      <c r="L21" s="18"/>
      <c r="M21" s="18"/>
      <c r="N21" s="18"/>
      <c r="O21" s="18"/>
      <c r="P21" s="18"/>
      <c r="Q21" s="18"/>
      <c r="R21" s="18"/>
      <c r="S21" s="18"/>
      <c r="W21" s="56" t="s">
        <v>86</v>
      </c>
      <c r="X21" s="57">
        <v>100000</v>
      </c>
      <c r="Y21" s="160" t="s">
        <v>24</v>
      </c>
    </row>
    <row r="22" spans="1:25" ht="18.75" thickBot="1">
      <c r="A22" s="264"/>
      <c r="B22" s="376"/>
      <c r="C22" s="265"/>
      <c r="D22" s="77"/>
      <c r="E22" s="77"/>
      <c r="F22" s="181">
        <v>16</v>
      </c>
      <c r="G22" s="91"/>
      <c r="H22" s="92"/>
      <c r="I22" s="92"/>
      <c r="J22" s="18"/>
      <c r="K22" s="18"/>
      <c r="L22" s="18"/>
      <c r="M22" s="18"/>
      <c r="N22" s="18"/>
      <c r="O22" s="18"/>
      <c r="P22" s="18"/>
      <c r="Q22" s="18"/>
      <c r="R22" s="18"/>
      <c r="S22" s="18"/>
      <c r="W22" s="56" t="s">
        <v>186</v>
      </c>
      <c r="X22" s="57">
        <v>80000</v>
      </c>
      <c r="Y22" s="160" t="s">
        <v>24</v>
      </c>
    </row>
    <row r="23" spans="1:25" ht="18.75" thickBot="1">
      <c r="A23" s="264"/>
      <c r="B23" s="376"/>
      <c r="C23" s="265"/>
      <c r="D23" s="77"/>
      <c r="E23" s="77"/>
      <c r="F23" s="180">
        <v>17</v>
      </c>
      <c r="G23" s="91"/>
      <c r="H23" s="92"/>
      <c r="I23" s="92"/>
      <c r="J23" s="18"/>
      <c r="K23" s="18"/>
      <c r="L23" s="18"/>
      <c r="M23" s="18"/>
      <c r="N23" s="18"/>
      <c r="O23" s="18"/>
      <c r="P23" s="18"/>
      <c r="Q23" s="18"/>
      <c r="R23" s="18"/>
      <c r="S23" s="18"/>
      <c r="W23" s="55"/>
      <c r="X23" s="57"/>
      <c r="Y23" s="160"/>
    </row>
    <row r="24" spans="1:25" ht="18.75" thickBot="1">
      <c r="A24" s="264"/>
      <c r="B24" s="376"/>
      <c r="C24" s="265"/>
      <c r="D24" s="77"/>
      <c r="E24" s="77"/>
      <c r="F24" s="180">
        <v>18</v>
      </c>
      <c r="G24" s="91"/>
      <c r="H24" s="92"/>
      <c r="I24" s="92"/>
      <c r="J24" s="18"/>
      <c r="K24" s="18"/>
      <c r="L24" s="18"/>
      <c r="M24" s="18"/>
      <c r="N24" s="18"/>
      <c r="O24" s="18"/>
      <c r="P24" s="18"/>
      <c r="Q24" s="18"/>
      <c r="R24" s="18"/>
      <c r="S24" s="18"/>
      <c r="W24" s="55"/>
      <c r="X24" s="57"/>
      <c r="Y24" s="160"/>
    </row>
    <row r="25" spans="1:25" ht="18.75" thickBot="1">
      <c r="A25" s="264"/>
      <c r="B25" s="376"/>
      <c r="C25" s="265"/>
      <c r="D25" s="77"/>
      <c r="E25" s="77"/>
      <c r="F25" s="180">
        <v>19</v>
      </c>
      <c r="G25" s="91"/>
      <c r="H25" s="92"/>
      <c r="I25" s="92"/>
      <c r="J25" s="18"/>
      <c r="K25" s="18"/>
      <c r="L25" s="18"/>
      <c r="M25" s="18"/>
      <c r="N25" s="18"/>
      <c r="O25" s="18"/>
      <c r="P25" s="18"/>
      <c r="Q25" s="18"/>
      <c r="R25" s="18"/>
      <c r="S25" s="18"/>
      <c r="W25" s="55"/>
      <c r="X25" s="57"/>
      <c r="Y25" s="160"/>
    </row>
    <row r="26" spans="1:25" ht="18.75" thickBot="1">
      <c r="A26" s="264"/>
      <c r="B26" s="376"/>
      <c r="C26" s="265"/>
      <c r="D26" s="77"/>
      <c r="E26" s="77"/>
      <c r="F26" s="180">
        <v>20</v>
      </c>
      <c r="G26" s="91"/>
      <c r="H26" s="92"/>
      <c r="I26" s="92"/>
      <c r="J26" s="18"/>
      <c r="K26" s="18"/>
      <c r="L26" s="18"/>
      <c r="M26" s="18"/>
      <c r="N26" s="18"/>
      <c r="O26" s="18"/>
      <c r="P26" s="18"/>
      <c r="Q26" s="18"/>
      <c r="R26" s="18"/>
      <c r="S26" s="18"/>
      <c r="W26" s="55"/>
      <c r="X26" s="57"/>
      <c r="Y26" s="160"/>
    </row>
    <row r="27" spans="1:25" ht="18.75" thickBot="1">
      <c r="A27" s="264"/>
      <c r="B27" s="376"/>
      <c r="C27" s="265"/>
      <c r="D27" s="77"/>
      <c r="E27" s="77"/>
      <c r="F27" s="180">
        <v>21</v>
      </c>
      <c r="G27" s="91"/>
      <c r="H27" s="92"/>
      <c r="I27" s="92"/>
      <c r="J27" s="18"/>
      <c r="K27" s="18"/>
      <c r="L27" s="18"/>
      <c r="M27" s="18"/>
      <c r="N27" s="18"/>
      <c r="O27" s="18"/>
      <c r="P27" s="18"/>
      <c r="Q27" s="18"/>
      <c r="R27" s="18"/>
      <c r="S27" s="18"/>
      <c r="W27" s="55"/>
      <c r="X27" s="57"/>
      <c r="Y27" s="160"/>
    </row>
    <row r="28" spans="1:25" ht="18.75" thickBot="1">
      <c r="A28" s="264"/>
      <c r="B28" s="376"/>
      <c r="C28" s="265"/>
      <c r="D28" s="77"/>
      <c r="E28" s="77"/>
      <c r="F28" s="180">
        <v>22</v>
      </c>
      <c r="G28" s="91"/>
      <c r="H28" s="92"/>
      <c r="I28" s="92"/>
      <c r="J28" s="18"/>
      <c r="K28" s="18"/>
      <c r="L28" s="18"/>
      <c r="M28" s="18"/>
      <c r="N28" s="18"/>
      <c r="O28" s="18"/>
      <c r="P28" s="18"/>
      <c r="Q28" s="18"/>
      <c r="R28" s="18"/>
      <c r="S28" s="18"/>
      <c r="W28" s="55"/>
      <c r="X28" s="57"/>
      <c r="Y28" s="160"/>
    </row>
    <row r="29" spans="1:25" ht="18.75" thickBot="1">
      <c r="A29" s="264"/>
      <c r="B29" s="376"/>
      <c r="C29" s="265"/>
      <c r="D29" s="77"/>
      <c r="E29" s="77"/>
      <c r="F29" s="180">
        <v>23</v>
      </c>
      <c r="G29" s="91"/>
      <c r="H29" s="92"/>
      <c r="I29" s="92"/>
      <c r="J29" s="18"/>
      <c r="K29" s="18"/>
      <c r="L29" s="18"/>
      <c r="M29" s="18"/>
      <c r="N29" s="18"/>
      <c r="O29" s="18"/>
      <c r="P29" s="18"/>
      <c r="Q29" s="18"/>
      <c r="R29" s="18"/>
      <c r="S29" s="18"/>
      <c r="W29" s="55"/>
      <c r="X29" s="57"/>
      <c r="Y29" s="160"/>
    </row>
    <row r="30" spans="1:25" ht="18.75" thickBot="1">
      <c r="A30" s="264"/>
      <c r="B30" s="376"/>
      <c r="C30" s="265"/>
      <c r="D30" s="77"/>
      <c r="E30" s="77"/>
      <c r="F30" s="180">
        <v>24</v>
      </c>
      <c r="G30" s="91"/>
      <c r="H30" s="92"/>
      <c r="I30" s="92"/>
      <c r="J30" s="18"/>
      <c r="K30" s="18"/>
      <c r="L30" s="18"/>
      <c r="M30" s="18"/>
      <c r="N30" s="18"/>
      <c r="O30" s="18"/>
      <c r="P30" s="18"/>
      <c r="Q30" s="18"/>
      <c r="R30" s="18"/>
      <c r="S30" s="18"/>
      <c r="W30" s="55"/>
      <c r="X30" s="57"/>
      <c r="Y30" s="160"/>
    </row>
    <row r="31" spans="1:25" ht="30" customHeight="1" thickBot="1">
      <c r="A31" s="377">
        <f>SUM(A7:A30)</f>
        <v>0</v>
      </c>
      <c r="B31" s="452" t="s">
        <v>16</v>
      </c>
      <c r="C31" s="452"/>
      <c r="D31" s="452"/>
      <c r="E31" s="452"/>
      <c r="F31" s="469"/>
      <c r="G31" s="91"/>
      <c r="H31" s="92"/>
      <c r="I31" s="92"/>
      <c r="J31" s="18"/>
      <c r="K31" s="18"/>
      <c r="L31" s="18"/>
      <c r="M31" s="18"/>
      <c r="N31" s="18"/>
      <c r="O31" s="18"/>
      <c r="P31" s="18"/>
      <c r="Q31" s="18"/>
      <c r="R31" s="18"/>
      <c r="S31" s="18"/>
      <c r="W31" s="55"/>
      <c r="X31" s="57"/>
      <c r="Y31" s="160"/>
    </row>
    <row r="32" spans="1:25" ht="18.75" thickBot="1">
      <c r="A32" s="20"/>
      <c r="B32" s="20"/>
      <c r="C32" s="20"/>
      <c r="D32" s="20"/>
      <c r="E32" s="20"/>
      <c r="F32" s="20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W32" s="55"/>
      <c r="X32" s="57"/>
      <c r="Y32" s="160"/>
    </row>
    <row r="33" spans="1:25" ht="18.75" thickBot="1">
      <c r="A33" s="20"/>
      <c r="B33" s="20"/>
      <c r="C33" s="20"/>
      <c r="D33" s="20"/>
      <c r="E33" s="20"/>
      <c r="F33" s="20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W33" s="55"/>
      <c r="X33" s="57"/>
      <c r="Y33" s="160"/>
    </row>
    <row r="34" spans="1:25" ht="18.75" thickBot="1">
      <c r="A34" s="20"/>
      <c r="B34" s="20"/>
      <c r="C34" s="20"/>
      <c r="D34" s="20"/>
      <c r="E34" s="20"/>
      <c r="F34" s="20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W34" s="55"/>
      <c r="X34" s="57"/>
      <c r="Y34" s="160"/>
    </row>
    <row r="35" spans="1:25" ht="18.75" thickBot="1">
      <c r="A35" s="20"/>
      <c r="B35" s="20"/>
      <c r="C35" s="20"/>
      <c r="D35" s="20"/>
      <c r="E35" s="20"/>
      <c r="F35" s="20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W35" s="55"/>
      <c r="X35" s="57"/>
      <c r="Y35" s="160"/>
    </row>
    <row r="36" spans="1:25">
      <c r="A36" s="20"/>
      <c r="B36" s="20"/>
      <c r="C36" s="20"/>
      <c r="D36" s="20"/>
      <c r="E36" s="20"/>
      <c r="F36" s="20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1:25">
      <c r="A37" s="20"/>
      <c r="B37" s="20"/>
      <c r="C37" s="20"/>
      <c r="D37" s="20"/>
      <c r="E37" s="20"/>
      <c r="F37" s="20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1:25">
      <c r="A38" s="20"/>
      <c r="B38" s="20"/>
      <c r="C38" s="20"/>
      <c r="D38" s="20"/>
      <c r="E38" s="20"/>
      <c r="F38" s="20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1:25">
      <c r="A39" s="20"/>
      <c r="B39" s="20"/>
      <c r="C39" s="20"/>
      <c r="D39" s="20"/>
      <c r="E39" s="20"/>
      <c r="F39" s="20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1:25">
      <c r="A40" s="20"/>
      <c r="B40" s="20"/>
      <c r="C40" s="20"/>
      <c r="D40" s="20"/>
      <c r="E40" s="20"/>
      <c r="F40" s="20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1:25">
      <c r="A41" s="20"/>
      <c r="B41" s="20"/>
      <c r="C41" s="20"/>
      <c r="D41" s="20"/>
      <c r="E41" s="20"/>
      <c r="F41" s="20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1:25">
      <c r="A42" s="20"/>
      <c r="B42" s="20"/>
      <c r="C42" s="20"/>
      <c r="D42" s="20"/>
      <c r="E42" s="20"/>
      <c r="F42" s="20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1:25">
      <c r="A43" s="20"/>
      <c r="B43" s="20"/>
      <c r="C43" s="20"/>
      <c r="D43" s="20"/>
      <c r="E43" s="20"/>
      <c r="F43" s="20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1:25">
      <c r="A44" s="20"/>
      <c r="B44" s="20"/>
      <c r="C44" s="20"/>
      <c r="D44" s="20"/>
      <c r="E44" s="20"/>
      <c r="F44" s="20"/>
    </row>
  </sheetData>
  <mergeCells count="6">
    <mergeCell ref="B3:E3"/>
    <mergeCell ref="A4:F5"/>
    <mergeCell ref="B31:F31"/>
    <mergeCell ref="B2:E2"/>
    <mergeCell ref="A1:B1"/>
    <mergeCell ref="D1:F1"/>
  </mergeCells>
  <pageMargins left="0.4" right="0.4" top="0.5" bottom="0.5" header="0.3" footer="0.3"/>
  <pageSetup paperSize="9" orientation="portrait" r:id="rId1"/>
  <headerFooter>
    <oddFooter>&amp;C
&amp;G&amp;R
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3" r:id="rId5" name="Button 5">
              <controlPr defaultSize="0" print="0" autoFill="0" autoPict="0" macro="[0]!Fittings">
                <anchor moveWithCells="1" sizeWithCells="1">
                  <from>
                    <xdr:col>8</xdr:col>
                    <xdr:colOff>495300</xdr:colOff>
                    <xdr:row>5</xdr:row>
                    <xdr:rowOff>123825</xdr:rowOff>
                  </from>
                  <to>
                    <xdr:col>11</xdr:col>
                    <xdr:colOff>257175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AB51"/>
  <sheetViews>
    <sheetView view="pageBreakPreview" zoomScale="115" zoomScaleNormal="100" zoomScaleSheetLayoutView="115" workbookViewId="0">
      <selection activeCell="F13" sqref="A7:F13"/>
    </sheetView>
  </sheetViews>
  <sheetFormatPr defaultColWidth="8.85546875" defaultRowHeight="15"/>
  <cols>
    <col min="1" max="1" width="19.7109375" style="1" customWidth="1"/>
    <col min="2" max="2" width="13.85546875" style="1" customWidth="1"/>
    <col min="3" max="3" width="8.7109375" style="1" customWidth="1"/>
    <col min="4" max="4" width="7.28515625" style="1" customWidth="1"/>
    <col min="5" max="5" width="7.7109375" style="1" customWidth="1"/>
    <col min="6" max="6" width="26.140625" style="1" customWidth="1"/>
    <col min="7" max="7" width="3.7109375" style="1" customWidth="1"/>
    <col min="8" max="16" width="8.85546875" style="1"/>
    <col min="17" max="21" width="0.140625" style="1" customWidth="1"/>
    <col min="22" max="22" width="6.85546875" style="1" customWidth="1"/>
    <col min="23" max="23" width="18.42578125" style="1" customWidth="1"/>
    <col min="24" max="24" width="22" style="1" customWidth="1"/>
    <col min="25" max="16384" width="8.85546875" style="1"/>
  </cols>
  <sheetData>
    <row r="1" spans="1:28" ht="18.75" thickBot="1">
      <c r="A1" s="457" t="str">
        <f>Fittings!A1</f>
        <v xml:space="preserve">تاریخ : </v>
      </c>
      <c r="B1" s="457"/>
      <c r="C1" s="54"/>
      <c r="D1" s="54"/>
      <c r="E1" s="59" t="str">
        <f>CONCATENATE(Data!$C$12,Data!$B$12)</f>
        <v/>
      </c>
      <c r="F1" s="179" t="str">
        <f>CONCATENATE(Data!$D$2,Data!$C$2)</f>
        <v xml:space="preserve">نام پروژه : </v>
      </c>
      <c r="G1" s="179"/>
      <c r="H1" s="179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W1" s="243" t="s">
        <v>188</v>
      </c>
      <c r="X1" s="244" t="s">
        <v>143</v>
      </c>
    </row>
    <row r="2" spans="1:28" ht="23.25">
      <c r="A2" s="8"/>
      <c r="B2" s="463" t="s">
        <v>55</v>
      </c>
      <c r="C2" s="463"/>
      <c r="D2" s="463"/>
      <c r="E2" s="463"/>
      <c r="F2" s="463"/>
      <c r="G2" s="463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W2" s="242" t="s">
        <v>189</v>
      </c>
      <c r="X2" s="230">
        <v>4000000</v>
      </c>
    </row>
    <row r="3" spans="1:28" ht="20.25">
      <c r="A3" s="7" t="s">
        <v>178</v>
      </c>
      <c r="B3" s="465"/>
      <c r="C3" s="465"/>
      <c r="D3" s="465"/>
      <c r="E3" s="465"/>
      <c r="F3" s="465"/>
      <c r="G3" s="9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W3" s="240" t="s">
        <v>40</v>
      </c>
      <c r="X3" s="120">
        <v>3000000</v>
      </c>
    </row>
    <row r="4" spans="1:28" ht="20.25" customHeight="1" thickBot="1">
      <c r="A4" s="472" t="s">
        <v>38</v>
      </c>
      <c r="B4" s="473"/>
      <c r="C4" s="473"/>
      <c r="D4" s="473"/>
      <c r="E4" s="473"/>
      <c r="F4" s="473"/>
      <c r="G4" s="473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W4" s="241"/>
      <c r="X4" s="171"/>
    </row>
    <row r="5" spans="1:28" ht="18">
      <c r="A5" s="473"/>
      <c r="B5" s="473"/>
      <c r="C5" s="473"/>
      <c r="D5" s="473"/>
      <c r="E5" s="473"/>
      <c r="F5" s="473"/>
      <c r="G5" s="473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W5" s="238"/>
      <c r="X5" s="169"/>
    </row>
    <row r="6" spans="1:28" ht="18">
      <c r="A6" s="68" t="s">
        <v>12</v>
      </c>
      <c r="B6" s="68" t="s">
        <v>13</v>
      </c>
      <c r="C6" s="68" t="s">
        <v>27</v>
      </c>
      <c r="D6" s="248" t="s">
        <v>36</v>
      </c>
      <c r="E6" s="68" t="s">
        <v>14</v>
      </c>
      <c r="F6" s="68" t="s">
        <v>37</v>
      </c>
      <c r="G6" s="68" t="s">
        <v>4</v>
      </c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W6" s="238"/>
      <c r="X6" s="169"/>
    </row>
    <row r="7" spans="1:28" ht="18">
      <c r="A7" s="216"/>
      <c r="B7" s="217"/>
      <c r="C7" s="218"/>
      <c r="D7" s="219"/>
      <c r="E7" s="266"/>
      <c r="F7" s="73"/>
      <c r="G7" s="74">
        <v>1</v>
      </c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W7" s="238"/>
      <c r="X7" s="169"/>
    </row>
    <row r="8" spans="1:28" ht="18">
      <c r="A8" s="216"/>
      <c r="B8" s="217"/>
      <c r="C8" s="218"/>
      <c r="D8" s="219"/>
      <c r="E8" s="266"/>
      <c r="F8" s="73"/>
      <c r="G8" s="74">
        <v>2</v>
      </c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W8" s="238"/>
      <c r="X8" s="169"/>
    </row>
    <row r="9" spans="1:28" ht="18">
      <c r="A9" s="216"/>
      <c r="B9" s="217"/>
      <c r="C9" s="218"/>
      <c r="D9" s="219"/>
      <c r="E9" s="220"/>
      <c r="F9" s="73"/>
      <c r="G9" s="74">
        <v>3</v>
      </c>
      <c r="H9" s="158"/>
      <c r="I9" s="158"/>
      <c r="J9" s="158"/>
      <c r="K9" s="158"/>
      <c r="L9"/>
      <c r="M9"/>
      <c r="N9"/>
      <c r="O9"/>
      <c r="P9" s="158"/>
      <c r="Q9" s="158"/>
      <c r="R9" s="158"/>
      <c r="S9" s="158"/>
      <c r="T9"/>
      <c r="U9"/>
      <c r="V9" s="239"/>
      <c r="W9" s="238"/>
      <c r="X9" s="169"/>
      <c r="Y9"/>
      <c r="Z9" s="73"/>
      <c r="AA9" s="62"/>
      <c r="AB9"/>
    </row>
    <row r="10" spans="1:28" s="3" customFormat="1" ht="18">
      <c r="A10" s="216"/>
      <c r="B10" s="217"/>
      <c r="C10" s="218"/>
      <c r="D10" s="219"/>
      <c r="E10" s="220"/>
      <c r="F10" s="73"/>
      <c r="G10" s="74">
        <v>4</v>
      </c>
      <c r="H10" s="477"/>
      <c r="I10" s="478"/>
      <c r="J10" s="478"/>
      <c r="K10" s="62"/>
      <c r="L10"/>
      <c r="M10"/>
      <c r="N10"/>
      <c r="O10"/>
      <c r="P10" s="477"/>
      <c r="Q10" s="478"/>
      <c r="R10" s="478"/>
      <c r="S10" s="62"/>
      <c r="T10"/>
      <c r="U10"/>
      <c r="V10" s="239"/>
      <c r="W10" s="238"/>
      <c r="X10" s="169"/>
      <c r="Y10"/>
      <c r="Z10" s="73"/>
      <c r="AA10" s="62"/>
      <c r="AB10"/>
    </row>
    <row r="11" spans="1:28" s="3" customFormat="1" ht="18">
      <c r="A11" s="216"/>
      <c r="B11" s="217"/>
      <c r="C11" s="218"/>
      <c r="D11" s="219"/>
      <c r="E11" s="220"/>
      <c r="F11" s="73"/>
      <c r="G11" s="74">
        <v>5</v>
      </c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W11" s="238"/>
      <c r="X11" s="169"/>
    </row>
    <row r="12" spans="1:28" ht="18">
      <c r="A12" s="216"/>
      <c r="B12" s="217"/>
      <c r="C12" s="218"/>
      <c r="D12" s="219"/>
      <c r="E12" s="220"/>
      <c r="F12" s="73"/>
      <c r="G12" s="74">
        <v>6</v>
      </c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W12" s="238"/>
      <c r="X12" s="169"/>
    </row>
    <row r="13" spans="1:28" ht="18">
      <c r="A13" s="216"/>
      <c r="B13" s="217"/>
      <c r="C13" s="218"/>
      <c r="D13" s="219"/>
      <c r="E13" s="220"/>
      <c r="F13" s="221"/>
      <c r="G13" s="74">
        <v>7</v>
      </c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W13" s="238"/>
      <c r="X13" s="169"/>
    </row>
    <row r="14" spans="1:28" ht="18">
      <c r="A14" s="216"/>
      <c r="B14" s="217"/>
      <c r="C14" s="218"/>
      <c r="D14" s="219"/>
      <c r="E14" s="220"/>
      <c r="F14" s="220"/>
      <c r="G14" s="74">
        <v>8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W14" s="238"/>
      <c r="X14" s="169"/>
    </row>
    <row r="15" spans="1:28" ht="19.5" customHeight="1">
      <c r="A15" s="216"/>
      <c r="B15" s="217"/>
      <c r="C15" s="218"/>
      <c r="D15" s="219"/>
      <c r="E15" s="220"/>
      <c r="F15" s="220"/>
      <c r="G15" s="74">
        <v>9</v>
      </c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W15" s="238"/>
      <c r="X15" s="169"/>
    </row>
    <row r="16" spans="1:28" ht="18">
      <c r="A16" s="216"/>
      <c r="B16" s="217"/>
      <c r="C16" s="218"/>
      <c r="D16" s="219"/>
      <c r="E16" s="220"/>
      <c r="F16" s="220"/>
      <c r="G16" s="74">
        <v>10</v>
      </c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W16" s="238"/>
      <c r="X16" s="169"/>
    </row>
    <row r="17" spans="1:28" ht="24.75" customHeight="1">
      <c r="A17" s="224">
        <f>SUM(A7:A16)</f>
        <v>0</v>
      </c>
      <c r="B17" s="474" t="s">
        <v>39</v>
      </c>
      <c r="C17" s="474"/>
      <c r="D17" s="474"/>
      <c r="E17" s="474"/>
      <c r="F17" s="474"/>
      <c r="G17" s="475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W17" s="238"/>
      <c r="X17" s="169"/>
    </row>
    <row r="18" spans="1:28" ht="18" customHeight="1">
      <c r="A18" s="476" t="s">
        <v>40</v>
      </c>
      <c r="B18" s="476"/>
      <c r="C18" s="476"/>
      <c r="D18" s="476"/>
      <c r="E18" s="476"/>
      <c r="F18" s="476"/>
      <c r="G18" s="473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W18" s="238"/>
      <c r="X18" s="169"/>
    </row>
    <row r="19" spans="1:28" ht="18.75" customHeight="1">
      <c r="A19" s="476"/>
      <c r="B19" s="476"/>
      <c r="C19" s="476"/>
      <c r="D19" s="476"/>
      <c r="E19" s="476"/>
      <c r="F19" s="476"/>
      <c r="G19" s="473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W19" s="238"/>
      <c r="X19" s="169"/>
    </row>
    <row r="20" spans="1:28" ht="22.5" customHeight="1">
      <c r="A20" s="215" t="s">
        <v>12</v>
      </c>
      <c r="B20" s="215" t="s">
        <v>13</v>
      </c>
      <c r="C20" s="215" t="s">
        <v>27</v>
      </c>
      <c r="D20" s="249" t="s">
        <v>36</v>
      </c>
      <c r="E20" s="215" t="s">
        <v>14</v>
      </c>
      <c r="F20" s="215" t="s">
        <v>40</v>
      </c>
      <c r="G20" s="68" t="s">
        <v>4</v>
      </c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W20" s="238"/>
      <c r="X20" s="169"/>
    </row>
    <row r="21" spans="1:28" ht="18">
      <c r="A21" s="216"/>
      <c r="B21" s="217"/>
      <c r="C21" s="218"/>
      <c r="D21" s="219"/>
      <c r="E21" s="266"/>
      <c r="F21" s="266"/>
      <c r="G21" s="74">
        <v>1</v>
      </c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W21" s="238"/>
      <c r="X21" s="169"/>
    </row>
    <row r="22" spans="1:28" ht="15.75">
      <c r="A22" s="216"/>
      <c r="B22" s="217"/>
      <c r="C22" s="218"/>
      <c r="D22" s="219"/>
      <c r="E22" s="266"/>
      <c r="F22" s="266"/>
      <c r="G22" s="74">
        <v>2</v>
      </c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8" ht="15.75">
      <c r="A23" s="216"/>
      <c r="B23" s="217"/>
      <c r="C23" s="218"/>
      <c r="D23" s="219"/>
      <c r="E23" s="220"/>
      <c r="F23" s="220"/>
      <c r="G23" s="74">
        <v>3</v>
      </c>
      <c r="H23" s="158"/>
      <c r="I23" s="158"/>
      <c r="J23" s="158"/>
      <c r="K23" s="158"/>
      <c r="L23"/>
      <c r="M23"/>
      <c r="N23"/>
      <c r="O23"/>
      <c r="P23" s="158"/>
      <c r="Q23" s="158"/>
      <c r="R23" s="158"/>
      <c r="S23" s="158"/>
      <c r="T23"/>
      <c r="U23"/>
      <c r="V23" s="239"/>
      <c r="W23" s="62"/>
      <c r="X23"/>
      <c r="Y23"/>
      <c r="Z23" s="73"/>
      <c r="AA23" s="62"/>
      <c r="AB23"/>
    </row>
    <row r="24" spans="1:28" ht="15.75">
      <c r="A24" s="216"/>
      <c r="B24" s="217"/>
      <c r="C24" s="218"/>
      <c r="D24" s="219"/>
      <c r="E24" s="220"/>
      <c r="F24" s="221"/>
      <c r="G24" s="74">
        <v>4</v>
      </c>
      <c r="H24" s="477"/>
      <c r="I24" s="478"/>
      <c r="J24" s="478"/>
      <c r="K24" s="62"/>
      <c r="L24"/>
      <c r="M24"/>
      <c r="N24"/>
      <c r="O24"/>
      <c r="P24" s="477"/>
      <c r="Q24" s="478"/>
      <c r="R24" s="478"/>
      <c r="S24" s="62"/>
      <c r="T24"/>
      <c r="U24"/>
      <c r="V24" s="239"/>
      <c r="W24" s="62"/>
      <c r="X24"/>
      <c r="Y24"/>
      <c r="Z24" s="73"/>
      <c r="AA24" s="62"/>
      <c r="AB24"/>
    </row>
    <row r="25" spans="1:28" ht="15.75">
      <c r="A25" s="216"/>
      <c r="B25" s="217"/>
      <c r="C25" s="218"/>
      <c r="D25" s="219"/>
      <c r="E25" s="220"/>
      <c r="F25" s="220"/>
      <c r="G25" s="74">
        <v>5</v>
      </c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8" ht="15.75">
      <c r="A26" s="216"/>
      <c r="B26" s="217"/>
      <c r="C26" s="218"/>
      <c r="D26" s="219"/>
      <c r="E26" s="220"/>
      <c r="F26" s="220"/>
      <c r="G26" s="74">
        <v>6</v>
      </c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8" ht="15.75">
      <c r="A27" s="216"/>
      <c r="B27" s="217"/>
      <c r="C27" s="218"/>
      <c r="D27" s="219"/>
      <c r="E27" s="220"/>
      <c r="F27" s="221"/>
      <c r="G27" s="74">
        <v>7</v>
      </c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</row>
    <row r="28" spans="1:28" ht="15.75">
      <c r="A28" s="216"/>
      <c r="B28" s="217"/>
      <c r="C28" s="218"/>
      <c r="D28" s="219"/>
      <c r="E28" s="220"/>
      <c r="F28" s="220"/>
      <c r="G28" s="74">
        <v>8</v>
      </c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</row>
    <row r="29" spans="1:28" ht="15.75">
      <c r="A29" s="216"/>
      <c r="B29" s="217"/>
      <c r="C29" s="218"/>
      <c r="D29" s="219"/>
      <c r="E29" s="220"/>
      <c r="F29" s="220"/>
      <c r="G29" s="74">
        <v>9</v>
      </c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</row>
    <row r="30" spans="1:28" ht="15.75">
      <c r="A30" s="216"/>
      <c r="B30" s="217"/>
      <c r="C30" s="218"/>
      <c r="D30" s="219"/>
      <c r="E30" s="220"/>
      <c r="F30" s="220"/>
      <c r="G30" s="74">
        <v>10</v>
      </c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</row>
    <row r="31" spans="1:28" ht="29.25" customHeight="1">
      <c r="A31" s="225">
        <f>SUM(A21:A30)</f>
        <v>0</v>
      </c>
      <c r="B31" s="471" t="s">
        <v>41</v>
      </c>
      <c r="C31" s="471"/>
      <c r="D31" s="471"/>
      <c r="E31" s="471"/>
      <c r="F31" s="471"/>
      <c r="G31" s="471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</row>
    <row r="32" spans="1:28" ht="19.5" customHeight="1">
      <c r="A32" s="20"/>
      <c r="B32" s="20"/>
      <c r="C32" s="20"/>
      <c r="D32" s="20"/>
      <c r="E32" s="20"/>
      <c r="F32" s="20"/>
      <c r="G32" s="20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</row>
    <row r="33" spans="1:20" ht="21" customHeight="1">
      <c r="A33" s="20"/>
      <c r="B33" s="20"/>
      <c r="C33" s="20"/>
      <c r="D33" s="20"/>
      <c r="E33" s="20"/>
      <c r="F33" s="20"/>
      <c r="G33" s="20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</row>
    <row r="34" spans="1:20" ht="21.75" customHeight="1">
      <c r="A34" s="20"/>
      <c r="B34" s="20"/>
      <c r="C34" s="20"/>
      <c r="D34" s="20"/>
      <c r="E34" s="20"/>
      <c r="F34" s="20"/>
      <c r="G34" s="20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</row>
    <row r="35" spans="1:20" ht="19.5" customHeight="1">
      <c r="A35" s="20"/>
      <c r="B35" s="20"/>
      <c r="C35" s="20"/>
      <c r="D35" s="20"/>
      <c r="E35" s="20"/>
      <c r="F35" s="20"/>
      <c r="G35" s="20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</row>
    <row r="36" spans="1:20" ht="21.75" customHeight="1">
      <c r="A36" s="20"/>
      <c r="B36" s="20"/>
      <c r="C36" s="20"/>
      <c r="D36" s="20"/>
      <c r="E36" s="20"/>
      <c r="F36" s="20"/>
      <c r="G36" s="20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</row>
    <row r="37" spans="1:20" ht="21.75" customHeight="1">
      <c r="A37" s="20"/>
      <c r="B37" s="20"/>
      <c r="C37" s="20"/>
      <c r="D37" s="20"/>
      <c r="E37" s="20"/>
      <c r="F37" s="20"/>
      <c r="G37" s="20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</row>
    <row r="38" spans="1:20" ht="21.75" customHeight="1">
      <c r="A38" s="20"/>
      <c r="B38" s="20"/>
      <c r="C38" s="20"/>
      <c r="D38" s="20"/>
      <c r="E38" s="20"/>
      <c r="F38" s="20"/>
      <c r="G38" s="20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</row>
    <row r="39" spans="1:20" ht="21.75" customHeight="1">
      <c r="A39" s="20"/>
      <c r="B39" s="20"/>
      <c r="C39" s="20"/>
      <c r="D39" s="20"/>
      <c r="E39" s="20"/>
      <c r="F39" s="20"/>
      <c r="G39" s="20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</row>
    <row r="40" spans="1:20" ht="21.75" customHeight="1">
      <c r="A40" s="20"/>
      <c r="B40" s="20"/>
      <c r="C40" s="20"/>
      <c r="D40" s="20"/>
      <c r="E40" s="20"/>
      <c r="F40" s="20"/>
      <c r="G40" s="20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</row>
    <row r="41" spans="1:20">
      <c r="A41" s="20"/>
      <c r="B41" s="20"/>
      <c r="C41" s="20"/>
      <c r="D41" s="20"/>
      <c r="E41" s="20"/>
      <c r="F41" s="20"/>
      <c r="G41" s="20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</row>
    <row r="42" spans="1:20">
      <c r="A42" s="20"/>
      <c r="B42" s="20"/>
      <c r="C42" s="20"/>
      <c r="D42" s="20"/>
      <c r="E42" s="20"/>
      <c r="F42" s="20"/>
      <c r="G42" s="20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</row>
    <row r="43" spans="1:20">
      <c r="A43" s="20"/>
      <c r="B43" s="20"/>
      <c r="C43" s="20"/>
      <c r="D43" s="20"/>
      <c r="E43" s="20"/>
      <c r="F43" s="20"/>
      <c r="G43" s="20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</row>
    <row r="44" spans="1:20">
      <c r="A44" s="20"/>
      <c r="B44" s="20"/>
      <c r="C44" s="20"/>
      <c r="D44" s="20"/>
      <c r="E44" s="20"/>
      <c r="F44" s="20"/>
      <c r="G44" s="20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</row>
    <row r="45" spans="1:20">
      <c r="A45" s="20"/>
      <c r="B45" s="20"/>
      <c r="C45" s="20"/>
      <c r="D45" s="20"/>
      <c r="E45" s="20"/>
      <c r="F45" s="20"/>
      <c r="G45" s="20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</row>
    <row r="46" spans="1:20">
      <c r="A46" s="20"/>
      <c r="B46" s="20"/>
      <c r="C46" s="20"/>
      <c r="D46" s="20"/>
      <c r="E46" s="20"/>
      <c r="F46" s="20"/>
      <c r="G46" s="20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</row>
    <row r="47" spans="1:20">
      <c r="A47" s="20"/>
      <c r="B47" s="20"/>
      <c r="C47" s="20"/>
      <c r="D47" s="20"/>
      <c r="E47" s="20"/>
      <c r="F47" s="20"/>
      <c r="G47" s="20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</row>
    <row r="48" spans="1:20">
      <c r="A48" s="20"/>
      <c r="B48" s="20"/>
      <c r="C48" s="20"/>
      <c r="D48" s="20"/>
      <c r="E48" s="20"/>
      <c r="F48" s="20"/>
      <c r="G48" s="20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</row>
    <row r="49" spans="1:20">
      <c r="A49" s="20"/>
      <c r="B49" s="20"/>
      <c r="C49" s="20"/>
      <c r="D49" s="20"/>
      <c r="E49" s="20"/>
      <c r="F49" s="20"/>
      <c r="G49" s="20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</row>
    <row r="50" spans="1:20">
      <c r="A50" s="20"/>
      <c r="B50" s="20"/>
      <c r="C50" s="20"/>
      <c r="D50" s="20"/>
      <c r="E50" s="20"/>
      <c r="F50" s="20"/>
      <c r="G50" s="20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</row>
    <row r="51" spans="1:20">
      <c r="A51" s="20"/>
      <c r="B51" s="20"/>
      <c r="C51" s="20"/>
      <c r="D51" s="20"/>
      <c r="E51" s="20"/>
      <c r="F51" s="20"/>
      <c r="G51" s="20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</row>
  </sheetData>
  <mergeCells count="11">
    <mergeCell ref="A1:B1"/>
    <mergeCell ref="H10:J10"/>
    <mergeCell ref="P10:R10"/>
    <mergeCell ref="H24:J24"/>
    <mergeCell ref="P24:R24"/>
    <mergeCell ref="B31:G31"/>
    <mergeCell ref="B2:G2"/>
    <mergeCell ref="B3:F3"/>
    <mergeCell ref="A4:G5"/>
    <mergeCell ref="B17:G17"/>
    <mergeCell ref="A18:G19"/>
  </mergeCells>
  <pageMargins left="0.4" right="0.4" top="0.5" bottom="0.5" header="0.3" footer="0.3"/>
  <pageSetup paperSize="9" orientation="portrait" r:id="rId1"/>
  <headerFooter>
    <oddFooter>&amp;C
&amp;G&amp;R
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5" name="Button 1">
              <controlPr defaultSize="0" print="0" autoFill="0" autoPict="0" macro="[0]!Painting1">
                <anchor moveWithCells="1" sizeWithCells="1">
                  <from>
                    <xdr:col>10</xdr:col>
                    <xdr:colOff>295275</xdr:colOff>
                    <xdr:row>5</xdr:row>
                    <xdr:rowOff>133350</xdr:rowOff>
                  </from>
                  <to>
                    <xdr:col>12</xdr:col>
                    <xdr:colOff>495300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print="0" autoFill="0" autoPict="0" macro="[0]!Painting2">
                <anchor moveWithCells="1" sizeWithCells="1">
                  <from>
                    <xdr:col>10</xdr:col>
                    <xdr:colOff>295275</xdr:colOff>
                    <xdr:row>8</xdr:row>
                    <xdr:rowOff>114300</xdr:rowOff>
                  </from>
                  <to>
                    <xdr:col>12</xdr:col>
                    <xdr:colOff>495300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6" r:id="rId7" name="Button 4">
              <controlPr defaultSize="0" print="0" autoFill="0" autoPict="0" macro="[0]!ClearPainting">
                <anchor moveWithCells="1" sizeWithCells="1">
                  <from>
                    <xdr:col>10</xdr:col>
                    <xdr:colOff>304800</xdr:colOff>
                    <xdr:row>12</xdr:row>
                    <xdr:rowOff>76200</xdr:rowOff>
                  </from>
                  <to>
                    <xdr:col>12</xdr:col>
                    <xdr:colOff>523875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>
    <tabColor rgb="FFFF0000"/>
  </sheetPr>
  <dimension ref="A1:Y41"/>
  <sheetViews>
    <sheetView view="pageBreakPreview" zoomScale="115" zoomScaleNormal="70" zoomScaleSheetLayoutView="115" workbookViewId="0">
      <selection activeCell="E11" sqref="A7:E11"/>
    </sheetView>
  </sheetViews>
  <sheetFormatPr defaultColWidth="8.85546875" defaultRowHeight="15.75"/>
  <cols>
    <col min="1" max="1" width="22.5703125" style="1" customWidth="1"/>
    <col min="2" max="2" width="15.5703125" style="1" customWidth="1"/>
    <col min="3" max="3" width="8.5703125" style="1" customWidth="1"/>
    <col min="4" max="4" width="6.5703125" style="1" customWidth="1"/>
    <col min="5" max="5" width="32.7109375" style="1" customWidth="1"/>
    <col min="6" max="6" width="3.5703125" style="1" customWidth="1"/>
    <col min="7" max="7" width="3.7109375" style="1" customWidth="1"/>
    <col min="8" max="16" width="8.85546875" style="1"/>
    <col min="17" max="21" width="0.140625" style="1" customWidth="1"/>
    <col min="22" max="22" width="15.85546875" style="1" customWidth="1"/>
    <col min="23" max="23" width="24.28515625" style="1" bestFit="1" customWidth="1"/>
    <col min="24" max="24" width="19.140625" style="1" customWidth="1"/>
    <col min="25" max="25" width="8.85546875" style="227"/>
    <col min="26" max="16384" width="8.85546875" style="1"/>
  </cols>
  <sheetData>
    <row r="1" spans="1:25" ht="24" thickBot="1">
      <c r="A1" s="457" t="str">
        <f>CONCATENATE(Data!$D$3,Data!$C$3)</f>
        <v xml:space="preserve">تاریخ : </v>
      </c>
      <c r="B1" s="457"/>
      <c r="C1" s="460" t="str">
        <f>CONCATENATE(Data!$D$2,Data!$C$2)</f>
        <v xml:space="preserve">نام پروژه : </v>
      </c>
      <c r="D1" s="460"/>
      <c r="E1" s="460"/>
      <c r="F1" s="460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V1" s="172"/>
      <c r="W1" s="118" t="s">
        <v>144</v>
      </c>
      <c r="X1" s="119" t="s">
        <v>88</v>
      </c>
      <c r="Y1" s="229" t="s">
        <v>14</v>
      </c>
    </row>
    <row r="2" spans="1:25" ht="23.25" customHeight="1">
      <c r="A2" s="85"/>
      <c r="B2" s="479" t="s">
        <v>158</v>
      </c>
      <c r="C2" s="479"/>
      <c r="D2" s="479"/>
      <c r="E2" s="479"/>
      <c r="F2" s="2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W2" s="232" t="s">
        <v>166</v>
      </c>
      <c r="X2" s="233">
        <v>25000000</v>
      </c>
      <c r="Y2" s="234" t="s">
        <v>183</v>
      </c>
    </row>
    <row r="3" spans="1:25" ht="22.5" customHeight="1">
      <c r="A3" s="7" t="s">
        <v>95</v>
      </c>
      <c r="B3" s="465"/>
      <c r="C3" s="465"/>
      <c r="D3" s="465"/>
      <c r="E3" s="465"/>
      <c r="F3" s="2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W3" s="228" t="s">
        <v>165</v>
      </c>
      <c r="X3" s="231">
        <v>15000000</v>
      </c>
      <c r="Y3" s="235" t="s">
        <v>182</v>
      </c>
    </row>
    <row r="4" spans="1:25" ht="22.5" customHeight="1">
      <c r="A4" s="480"/>
      <c r="B4" s="480"/>
      <c r="C4" s="480"/>
      <c r="D4" s="480"/>
      <c r="E4" s="480"/>
      <c r="F4" s="480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W4" s="228" t="s">
        <v>159</v>
      </c>
      <c r="X4" s="231">
        <v>12000000</v>
      </c>
      <c r="Y4" s="235" t="s">
        <v>182</v>
      </c>
    </row>
    <row r="5" spans="1:25" ht="19.5" customHeight="1" thickBot="1">
      <c r="A5" s="480"/>
      <c r="B5" s="480"/>
      <c r="C5" s="480"/>
      <c r="D5" s="480"/>
      <c r="E5" s="480"/>
      <c r="F5" s="480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W5" s="121"/>
      <c r="X5" s="231"/>
      <c r="Y5" s="235"/>
    </row>
    <row r="6" spans="1:25" ht="21" customHeight="1" thickBot="1">
      <c r="A6" s="195" t="s">
        <v>12</v>
      </c>
      <c r="B6" s="196" t="s">
        <v>20</v>
      </c>
      <c r="C6" s="196" t="s">
        <v>14</v>
      </c>
      <c r="D6" s="196" t="s">
        <v>27</v>
      </c>
      <c r="E6" s="197" t="s">
        <v>29</v>
      </c>
      <c r="F6" s="198" t="s">
        <v>4</v>
      </c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W6" s="121"/>
      <c r="X6" s="231"/>
      <c r="Y6" s="235"/>
    </row>
    <row r="7" spans="1:25" ht="22.5" customHeight="1">
      <c r="A7" s="250"/>
      <c r="B7" s="251"/>
      <c r="C7" s="252"/>
      <c r="D7" s="253"/>
      <c r="E7" s="228"/>
      <c r="F7" s="180">
        <v>1</v>
      </c>
      <c r="G7" s="91"/>
      <c r="H7" s="92"/>
      <c r="I7" s="92"/>
      <c r="J7" s="18"/>
      <c r="K7" s="18"/>
      <c r="L7" s="18"/>
      <c r="M7" s="18"/>
      <c r="N7" s="18"/>
      <c r="O7" s="18"/>
      <c r="P7" s="18"/>
      <c r="Q7" s="18"/>
      <c r="R7" s="18"/>
      <c r="S7" s="18"/>
      <c r="W7" s="121"/>
      <c r="X7" s="231"/>
      <c r="Y7" s="235"/>
    </row>
    <row r="8" spans="1:25" ht="24" customHeight="1">
      <c r="A8" s="250"/>
      <c r="B8" s="251"/>
      <c r="C8" s="252"/>
      <c r="D8" s="253"/>
      <c r="E8" s="117"/>
      <c r="F8" s="180">
        <v>2</v>
      </c>
      <c r="G8" s="91"/>
      <c r="H8" s="92"/>
      <c r="I8" s="92"/>
      <c r="J8" s="18"/>
      <c r="K8" s="18"/>
      <c r="L8" s="18"/>
      <c r="M8" s="18"/>
      <c r="N8" s="18"/>
      <c r="O8" s="18"/>
      <c r="P8" s="18"/>
      <c r="Q8" s="18"/>
      <c r="R8" s="18"/>
      <c r="S8" s="18"/>
      <c r="W8" s="121"/>
      <c r="X8" s="231"/>
      <c r="Y8" s="235"/>
    </row>
    <row r="9" spans="1:25" ht="21" customHeight="1" thickBot="1">
      <c r="A9" s="250"/>
      <c r="B9" s="251"/>
      <c r="C9" s="252"/>
      <c r="D9" s="253"/>
      <c r="E9" s="117"/>
      <c r="F9" s="180">
        <v>3</v>
      </c>
      <c r="G9" s="91"/>
      <c r="H9" s="92"/>
      <c r="I9" s="92"/>
      <c r="J9" s="18"/>
      <c r="K9" s="18"/>
      <c r="L9" s="18"/>
      <c r="M9" s="18"/>
      <c r="N9" s="18"/>
      <c r="O9" s="18"/>
      <c r="P9" s="18"/>
      <c r="Q9" s="18"/>
      <c r="R9" s="18"/>
      <c r="S9" s="18"/>
      <c r="W9" s="170"/>
      <c r="X9" s="236"/>
      <c r="Y9" s="237"/>
    </row>
    <row r="10" spans="1:25" s="3" customFormat="1" ht="21" customHeight="1">
      <c r="A10" s="250"/>
      <c r="B10" s="251"/>
      <c r="C10" s="252"/>
      <c r="D10" s="253"/>
      <c r="E10" s="117"/>
      <c r="F10" s="180">
        <v>4</v>
      </c>
      <c r="G10" s="91"/>
      <c r="H10" s="92"/>
      <c r="I10" s="92"/>
      <c r="J10" s="19"/>
      <c r="K10" s="19"/>
      <c r="L10" s="19"/>
      <c r="M10" s="19"/>
      <c r="N10" s="19"/>
      <c r="O10" s="19"/>
      <c r="P10" s="19"/>
      <c r="Q10" s="19"/>
      <c r="R10" s="19"/>
      <c r="S10" s="19"/>
      <c r="W10" s="168"/>
      <c r="X10" s="169"/>
      <c r="Y10" s="227"/>
    </row>
    <row r="11" spans="1:25" s="3" customFormat="1" ht="21" customHeight="1">
      <c r="A11" s="250"/>
      <c r="B11" s="251"/>
      <c r="C11" s="252"/>
      <c r="D11" s="253"/>
      <c r="E11" s="117"/>
      <c r="F11" s="180">
        <v>5</v>
      </c>
      <c r="G11" s="91"/>
      <c r="H11" s="92"/>
      <c r="I11" s="92"/>
      <c r="J11" s="19"/>
      <c r="K11" s="19"/>
      <c r="L11" s="19"/>
      <c r="M11" s="19"/>
      <c r="N11" s="19"/>
      <c r="O11" s="19"/>
      <c r="P11" s="19"/>
      <c r="Q11" s="19"/>
      <c r="R11" s="19"/>
      <c r="S11" s="19"/>
      <c r="W11" s="168"/>
      <c r="X11" s="169"/>
      <c r="Y11" s="227"/>
    </row>
    <row r="12" spans="1:25" ht="21" customHeight="1">
      <c r="A12" s="250"/>
      <c r="B12" s="251"/>
      <c r="C12" s="252"/>
      <c r="D12" s="253"/>
      <c r="E12" s="117"/>
      <c r="F12" s="180">
        <v>6</v>
      </c>
      <c r="G12" s="91"/>
      <c r="H12" s="92"/>
      <c r="I12" s="92"/>
      <c r="J12" s="18"/>
      <c r="K12" s="18"/>
      <c r="L12" s="18"/>
      <c r="M12" s="18"/>
      <c r="N12" s="18"/>
      <c r="O12" s="18"/>
      <c r="P12" s="18"/>
      <c r="Q12" s="18"/>
      <c r="R12" s="18"/>
      <c r="S12" s="18"/>
      <c r="W12" s="168"/>
      <c r="X12" s="169"/>
    </row>
    <row r="13" spans="1:25" ht="21" customHeight="1">
      <c r="A13" s="250"/>
      <c r="B13" s="251"/>
      <c r="C13" s="252"/>
      <c r="D13" s="253"/>
      <c r="E13" s="117"/>
      <c r="F13" s="180">
        <v>7</v>
      </c>
      <c r="G13" s="91"/>
      <c r="H13" s="92"/>
      <c r="I13" s="92"/>
      <c r="J13" s="18"/>
      <c r="K13" s="18"/>
      <c r="L13" s="18"/>
      <c r="M13" s="18"/>
      <c r="N13" s="18"/>
      <c r="O13" s="18"/>
      <c r="P13" s="18"/>
      <c r="Q13" s="18"/>
      <c r="R13" s="18"/>
      <c r="S13" s="18"/>
      <c r="W13" s="168"/>
      <c r="X13" s="169"/>
    </row>
    <row r="14" spans="1:25" ht="21" customHeight="1">
      <c r="A14" s="250"/>
      <c r="B14" s="251"/>
      <c r="C14" s="252"/>
      <c r="D14" s="253"/>
      <c r="E14" s="117"/>
      <c r="F14" s="180">
        <v>8</v>
      </c>
      <c r="G14" s="91"/>
      <c r="H14" s="92"/>
      <c r="I14" s="92"/>
      <c r="J14" s="18"/>
      <c r="K14" s="18"/>
      <c r="L14" s="18"/>
      <c r="M14" s="18"/>
      <c r="N14" s="18"/>
      <c r="O14" s="18"/>
      <c r="P14" s="18"/>
      <c r="Q14" s="18"/>
      <c r="R14" s="18"/>
      <c r="S14" s="18"/>
      <c r="W14" s="168"/>
      <c r="X14" s="169"/>
    </row>
    <row r="15" spans="1:25" ht="21" customHeight="1">
      <c r="A15" s="250"/>
      <c r="B15" s="251"/>
      <c r="C15" s="252"/>
      <c r="D15" s="253"/>
      <c r="E15" s="117"/>
      <c r="F15" s="180">
        <v>9</v>
      </c>
      <c r="G15" s="91"/>
      <c r="H15" s="92"/>
      <c r="I15" s="92"/>
      <c r="J15" s="18"/>
      <c r="K15" s="18"/>
      <c r="L15" s="18"/>
      <c r="M15" s="18"/>
      <c r="N15" s="18"/>
      <c r="O15" s="18"/>
      <c r="P15" s="18"/>
      <c r="Q15" s="18"/>
      <c r="R15" s="18"/>
      <c r="S15" s="18"/>
      <c r="W15" s="168"/>
      <c r="X15" s="169"/>
    </row>
    <row r="16" spans="1:25" ht="21" customHeight="1">
      <c r="A16" s="250"/>
      <c r="B16" s="251"/>
      <c r="C16" s="252"/>
      <c r="D16" s="253"/>
      <c r="E16" s="117"/>
      <c r="F16" s="180">
        <v>10</v>
      </c>
      <c r="G16" s="91"/>
      <c r="H16" s="92"/>
      <c r="I16" s="92"/>
      <c r="J16" s="18"/>
      <c r="K16" s="18"/>
      <c r="L16" s="18"/>
      <c r="M16" s="18"/>
      <c r="N16" s="18"/>
      <c r="O16" s="18"/>
      <c r="P16" s="18"/>
      <c r="Q16" s="18"/>
      <c r="R16" s="18"/>
      <c r="S16" s="18"/>
      <c r="W16" s="168"/>
      <c r="X16" s="169"/>
    </row>
    <row r="17" spans="1:24" ht="21" customHeight="1">
      <c r="A17" s="250"/>
      <c r="B17" s="251"/>
      <c r="C17" s="252"/>
      <c r="D17" s="253"/>
      <c r="E17" s="117"/>
      <c r="F17" s="180">
        <v>11</v>
      </c>
      <c r="G17" s="91"/>
      <c r="H17" s="92"/>
      <c r="I17" s="92"/>
      <c r="J17" s="18"/>
      <c r="K17" s="18"/>
      <c r="L17" s="18"/>
      <c r="M17" s="18"/>
      <c r="N17" s="18"/>
      <c r="O17" s="18"/>
      <c r="P17" s="18"/>
      <c r="Q17" s="18"/>
      <c r="R17" s="18"/>
      <c r="S17" s="18"/>
      <c r="W17" s="168"/>
      <c r="X17" s="169"/>
    </row>
    <row r="18" spans="1:24" ht="21" customHeight="1">
      <c r="A18" s="250"/>
      <c r="B18" s="251"/>
      <c r="C18" s="252"/>
      <c r="D18" s="253"/>
      <c r="E18" s="117"/>
      <c r="F18" s="180">
        <v>12</v>
      </c>
      <c r="G18" s="91"/>
      <c r="H18" s="92"/>
      <c r="I18" s="92"/>
      <c r="J18" s="18"/>
      <c r="K18" s="18"/>
      <c r="L18" s="18"/>
      <c r="M18" s="18"/>
      <c r="N18" s="18"/>
      <c r="O18" s="18"/>
      <c r="P18" s="18"/>
      <c r="Q18" s="18"/>
      <c r="R18" s="18"/>
      <c r="S18" s="18"/>
      <c r="W18" s="168"/>
      <c r="X18" s="169"/>
    </row>
    <row r="19" spans="1:24" ht="21" customHeight="1">
      <c r="A19" s="250"/>
      <c r="B19" s="251"/>
      <c r="C19" s="252"/>
      <c r="D19" s="253"/>
      <c r="E19" s="117"/>
      <c r="F19" s="180">
        <v>13</v>
      </c>
      <c r="G19" s="91"/>
      <c r="H19" s="92"/>
      <c r="I19" s="92"/>
      <c r="J19" s="18"/>
      <c r="K19" s="18"/>
      <c r="L19" s="18"/>
      <c r="M19" s="18"/>
      <c r="N19" s="18"/>
      <c r="O19" s="18"/>
      <c r="P19" s="18"/>
      <c r="Q19" s="18"/>
      <c r="R19" s="18"/>
      <c r="S19" s="18"/>
      <c r="W19" s="168"/>
      <c r="X19" s="169"/>
    </row>
    <row r="20" spans="1:24" ht="21" customHeight="1">
      <c r="A20" s="250"/>
      <c r="B20" s="251"/>
      <c r="C20" s="252"/>
      <c r="D20" s="253"/>
      <c r="E20" s="117"/>
      <c r="F20" s="180">
        <v>14</v>
      </c>
      <c r="G20" s="91"/>
      <c r="H20" s="92"/>
      <c r="I20" s="92"/>
      <c r="J20" s="18"/>
      <c r="K20" s="18"/>
      <c r="L20" s="18"/>
      <c r="M20" s="18"/>
      <c r="N20" s="18"/>
      <c r="O20" s="18"/>
      <c r="P20" s="18"/>
      <c r="Q20" s="18"/>
      <c r="R20" s="18"/>
      <c r="S20" s="18"/>
      <c r="W20" s="168"/>
      <c r="X20" s="169"/>
    </row>
    <row r="21" spans="1:24" ht="21" customHeight="1">
      <c r="A21" s="250"/>
      <c r="B21" s="251"/>
      <c r="C21" s="252"/>
      <c r="D21" s="253"/>
      <c r="E21" s="117"/>
      <c r="F21" s="180">
        <v>15</v>
      </c>
      <c r="G21" s="91"/>
      <c r="H21" s="92"/>
      <c r="I21" s="92"/>
      <c r="J21" s="18"/>
      <c r="K21" s="18"/>
      <c r="L21" s="18"/>
      <c r="M21" s="18"/>
      <c r="N21" s="18"/>
      <c r="O21" s="18"/>
      <c r="P21" s="18"/>
      <c r="Q21" s="18"/>
      <c r="R21" s="18"/>
      <c r="S21" s="18"/>
      <c r="W21" s="168"/>
      <c r="X21" s="169"/>
    </row>
    <row r="22" spans="1:24" ht="21" customHeight="1">
      <c r="A22" s="250"/>
      <c r="B22" s="251"/>
      <c r="C22" s="252"/>
      <c r="D22" s="253"/>
      <c r="E22" s="117"/>
      <c r="F22" s="180">
        <v>16</v>
      </c>
      <c r="G22" s="91"/>
      <c r="H22" s="92"/>
      <c r="I22" s="92"/>
      <c r="J22" s="18"/>
      <c r="K22" s="18"/>
      <c r="L22" s="18"/>
      <c r="M22" s="18"/>
      <c r="N22" s="18"/>
      <c r="O22" s="18"/>
      <c r="P22" s="18"/>
      <c r="Q22" s="18"/>
      <c r="R22" s="18"/>
      <c r="S22" s="18"/>
      <c r="W22" s="168"/>
      <c r="X22" s="169"/>
    </row>
    <row r="23" spans="1:24" ht="21" customHeight="1">
      <c r="A23" s="250"/>
      <c r="B23" s="251"/>
      <c r="C23" s="252"/>
      <c r="D23" s="117"/>
      <c r="E23" s="117"/>
      <c r="F23" s="180">
        <v>17</v>
      </c>
      <c r="G23" s="91"/>
      <c r="H23" s="92"/>
      <c r="I23" s="92"/>
      <c r="J23" s="18"/>
      <c r="K23" s="18"/>
      <c r="L23" s="18"/>
      <c r="M23" s="18"/>
      <c r="N23" s="18"/>
      <c r="O23" s="18"/>
      <c r="P23" s="18"/>
      <c r="Q23" s="18"/>
      <c r="R23" s="18"/>
      <c r="S23" s="18"/>
      <c r="W23" s="168"/>
      <c r="X23" s="169"/>
    </row>
    <row r="24" spans="1:24" ht="21" customHeight="1">
      <c r="A24" s="250"/>
      <c r="B24" s="251"/>
      <c r="C24" s="252"/>
      <c r="D24" s="117"/>
      <c r="E24" s="117"/>
      <c r="F24" s="180">
        <v>18</v>
      </c>
      <c r="G24" s="91"/>
      <c r="H24" s="92"/>
      <c r="I24" s="92"/>
      <c r="J24" s="18"/>
      <c r="K24" s="18"/>
      <c r="L24" s="18"/>
      <c r="M24" s="18"/>
      <c r="N24" s="18"/>
      <c r="O24" s="18"/>
      <c r="P24" s="18"/>
      <c r="Q24" s="18"/>
      <c r="R24" s="18"/>
      <c r="S24" s="18"/>
      <c r="W24" s="168"/>
      <c r="X24" s="169"/>
    </row>
    <row r="25" spans="1:24" ht="21" customHeight="1">
      <c r="A25" s="250"/>
      <c r="B25" s="251"/>
      <c r="C25" s="252"/>
      <c r="D25" s="117"/>
      <c r="E25" s="117"/>
      <c r="F25" s="180">
        <v>19</v>
      </c>
      <c r="G25" s="91"/>
      <c r="H25" s="92"/>
      <c r="I25" s="92"/>
      <c r="J25" s="18"/>
      <c r="K25" s="18"/>
      <c r="L25" s="18"/>
      <c r="M25" s="18"/>
      <c r="N25" s="18"/>
      <c r="O25" s="18"/>
      <c r="P25" s="18"/>
      <c r="Q25" s="18"/>
      <c r="R25" s="18"/>
      <c r="S25" s="18"/>
      <c r="W25" s="168"/>
      <c r="X25" s="169"/>
    </row>
    <row r="26" spans="1:24" ht="21" customHeight="1">
      <c r="A26" s="250"/>
      <c r="B26" s="251"/>
      <c r="C26" s="252"/>
      <c r="D26" s="117"/>
      <c r="E26" s="117"/>
      <c r="F26" s="180">
        <v>20</v>
      </c>
      <c r="G26" s="91"/>
      <c r="H26" s="92"/>
      <c r="I26" s="92"/>
      <c r="J26" s="18"/>
      <c r="K26" s="18"/>
      <c r="L26" s="18"/>
      <c r="M26" s="18"/>
      <c r="N26" s="18"/>
      <c r="O26" s="18"/>
      <c r="P26" s="18"/>
      <c r="Q26" s="18"/>
      <c r="R26" s="18"/>
      <c r="S26" s="18"/>
      <c r="W26" s="168"/>
      <c r="X26" s="169"/>
    </row>
    <row r="27" spans="1:24" ht="21" customHeight="1">
      <c r="A27" s="250"/>
      <c r="B27" s="251"/>
      <c r="C27" s="252"/>
      <c r="D27" s="117"/>
      <c r="E27" s="117"/>
      <c r="F27" s="180">
        <v>21</v>
      </c>
      <c r="G27" s="91"/>
      <c r="H27" s="92"/>
      <c r="I27" s="92"/>
      <c r="J27" s="18"/>
      <c r="K27" s="18"/>
      <c r="L27" s="18"/>
      <c r="M27" s="18"/>
      <c r="N27" s="18"/>
      <c r="O27" s="18"/>
      <c r="P27" s="18"/>
      <c r="Q27" s="18"/>
      <c r="R27" s="18"/>
      <c r="S27" s="18"/>
      <c r="W27" s="168"/>
      <c r="X27" s="169"/>
    </row>
    <row r="28" spans="1:24" ht="21" customHeight="1">
      <c r="A28" s="250"/>
      <c r="B28" s="251"/>
      <c r="C28" s="252"/>
      <c r="D28" s="117"/>
      <c r="E28" s="117"/>
      <c r="F28" s="180">
        <v>22</v>
      </c>
      <c r="G28" s="91"/>
      <c r="H28" s="92"/>
      <c r="I28" s="92"/>
      <c r="J28" s="18"/>
      <c r="K28" s="18"/>
      <c r="L28" s="18"/>
      <c r="M28" s="18"/>
      <c r="N28" s="18"/>
      <c r="O28" s="18"/>
      <c r="P28" s="18"/>
      <c r="Q28" s="18"/>
      <c r="R28" s="18"/>
      <c r="S28" s="18"/>
      <c r="W28" s="168"/>
      <c r="X28" s="169"/>
    </row>
    <row r="29" spans="1:24" ht="21" customHeight="1">
      <c r="A29" s="250"/>
      <c r="B29" s="251"/>
      <c r="C29" s="252"/>
      <c r="D29" s="117"/>
      <c r="E29" s="117"/>
      <c r="F29" s="180">
        <v>23</v>
      </c>
      <c r="G29" s="91"/>
      <c r="H29" s="92"/>
      <c r="I29" s="92"/>
      <c r="J29" s="18"/>
      <c r="K29" s="18"/>
      <c r="L29" s="18"/>
      <c r="M29" s="18"/>
      <c r="N29" s="18"/>
      <c r="O29" s="18"/>
      <c r="P29" s="18"/>
      <c r="Q29" s="18"/>
      <c r="R29" s="18"/>
      <c r="S29" s="18"/>
      <c r="W29" s="168"/>
      <c r="X29" s="169"/>
    </row>
    <row r="30" spans="1:24" ht="21" customHeight="1">
      <c r="A30" s="250"/>
      <c r="B30" s="251"/>
      <c r="C30" s="252"/>
      <c r="D30" s="117"/>
      <c r="E30" s="117"/>
      <c r="F30" s="180">
        <v>24</v>
      </c>
      <c r="G30" s="91"/>
      <c r="H30" s="92"/>
      <c r="I30" s="92"/>
      <c r="J30" s="18"/>
      <c r="K30" s="18"/>
      <c r="L30" s="18"/>
      <c r="M30" s="18"/>
      <c r="N30" s="18"/>
      <c r="O30" s="18"/>
      <c r="P30" s="18"/>
      <c r="Q30" s="18"/>
      <c r="R30" s="18"/>
      <c r="S30" s="18"/>
      <c r="W30" s="168"/>
      <c r="X30" s="169"/>
    </row>
    <row r="31" spans="1:24" ht="24" customHeight="1" thickBot="1">
      <c r="A31" s="226">
        <f>SUM(A7:A30)</f>
        <v>0</v>
      </c>
      <c r="B31" s="452" t="s">
        <v>16</v>
      </c>
      <c r="C31" s="452"/>
      <c r="D31" s="452"/>
      <c r="E31" s="452"/>
      <c r="F31" s="469"/>
      <c r="G31" s="91"/>
      <c r="H31" s="92"/>
      <c r="I31" s="92"/>
      <c r="J31" s="18"/>
      <c r="K31" s="18"/>
      <c r="L31" s="18"/>
      <c r="M31" s="18"/>
      <c r="N31" s="18"/>
      <c r="O31" s="18"/>
      <c r="P31" s="18"/>
      <c r="Q31" s="18"/>
      <c r="R31" s="18"/>
      <c r="S31" s="18"/>
      <c r="W31" s="168"/>
      <c r="X31" s="169"/>
    </row>
    <row r="32" spans="1:24">
      <c r="A32" s="20"/>
      <c r="B32" s="20"/>
      <c r="C32" s="20"/>
      <c r="D32" s="20"/>
      <c r="E32" s="20"/>
      <c r="F32" s="20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1:19">
      <c r="A33" s="20"/>
      <c r="B33" s="20"/>
      <c r="C33" s="20"/>
      <c r="D33" s="20"/>
      <c r="E33" s="20"/>
      <c r="F33" s="20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1:19">
      <c r="A34" s="20"/>
      <c r="B34" s="20"/>
      <c r="C34" s="20"/>
      <c r="D34" s="20"/>
      <c r="E34" s="20"/>
      <c r="F34" s="20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1:19">
      <c r="A35" s="20"/>
      <c r="B35" s="20"/>
      <c r="C35" s="20"/>
      <c r="D35" s="20"/>
      <c r="E35" s="20"/>
      <c r="F35" s="20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1:19">
      <c r="A36" s="20"/>
      <c r="B36" s="20"/>
      <c r="C36" s="20"/>
      <c r="D36" s="20"/>
      <c r="E36" s="20"/>
      <c r="F36" s="20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1:19">
      <c r="A37" s="20"/>
      <c r="B37" s="20"/>
      <c r="C37" s="20"/>
      <c r="D37" s="20"/>
      <c r="E37" s="20"/>
      <c r="F37" s="20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1:19">
      <c r="A38" s="20"/>
      <c r="B38" s="20"/>
      <c r="C38" s="20"/>
      <c r="D38" s="20"/>
      <c r="E38" s="20"/>
      <c r="F38" s="20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1:19">
      <c r="A39" s="20"/>
      <c r="B39" s="20"/>
      <c r="C39" s="20"/>
      <c r="D39" s="20"/>
      <c r="E39" s="20"/>
      <c r="F39" s="20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1:19">
      <c r="A40" s="20"/>
      <c r="B40" s="20"/>
      <c r="C40" s="20"/>
      <c r="D40" s="20"/>
      <c r="E40" s="20"/>
      <c r="F40" s="20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1:19">
      <c r="A41" s="20"/>
      <c r="B41" s="20"/>
      <c r="C41" s="20"/>
      <c r="D41" s="20"/>
      <c r="E41" s="20"/>
      <c r="F41" s="20"/>
    </row>
  </sheetData>
  <mergeCells count="6">
    <mergeCell ref="B2:E2"/>
    <mergeCell ref="B3:E3"/>
    <mergeCell ref="A4:F5"/>
    <mergeCell ref="B31:F31"/>
    <mergeCell ref="A1:B1"/>
    <mergeCell ref="C1:F1"/>
  </mergeCells>
  <pageMargins left="0.39370078740157483" right="0.39370078740157483" top="0.51181102362204722" bottom="0.51181102362204722" header="0.31496062992125984" footer="0.31496062992125984"/>
  <pageSetup orientation="portrait" r:id="rId1"/>
  <headerFooter>
    <oddFooter>&amp;L&amp;G&amp;R&amp;G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5" name="Button 1">
              <controlPr defaultSize="0" print="0" autoFill="0" autoPict="0" macro="[0]!Plate">
                <anchor moveWithCells="1" sizeWithCells="1">
                  <from>
                    <xdr:col>11</xdr:col>
                    <xdr:colOff>561975</xdr:colOff>
                    <xdr:row>4</xdr:row>
                    <xdr:rowOff>38100</xdr:rowOff>
                  </from>
                  <to>
                    <xdr:col>14</xdr:col>
                    <xdr:colOff>238125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</sheetPr>
  <dimension ref="A1:T48"/>
  <sheetViews>
    <sheetView view="pageBreakPreview" topLeftCell="A4" zoomScale="115" zoomScaleNormal="100" zoomScaleSheetLayoutView="115" workbookViewId="0">
      <selection activeCell="F18" sqref="A7:F18"/>
    </sheetView>
  </sheetViews>
  <sheetFormatPr defaultColWidth="8.85546875" defaultRowHeight="15"/>
  <cols>
    <col min="1" max="1" width="15.7109375" style="1" customWidth="1"/>
    <col min="2" max="2" width="13.140625" style="1" customWidth="1"/>
    <col min="3" max="3" width="6.140625" style="1" customWidth="1"/>
    <col min="4" max="4" width="7.7109375" style="1" customWidth="1"/>
    <col min="5" max="5" width="12.28515625" style="1" customWidth="1"/>
    <col min="6" max="6" width="25.28515625" style="1" customWidth="1"/>
    <col min="7" max="7" width="5.7109375" style="1" customWidth="1"/>
    <col min="8" max="13" width="8.85546875" style="1"/>
    <col min="14" max="14" width="23.5703125" style="1" customWidth="1"/>
    <col min="15" max="15" width="17.5703125" style="1" customWidth="1"/>
    <col min="16" max="16" width="9.42578125" style="1" customWidth="1"/>
    <col min="17" max="17" width="22" style="1" customWidth="1"/>
    <col min="19" max="16384" width="8.85546875" style="1"/>
  </cols>
  <sheetData>
    <row r="1" spans="1:20" ht="24" thickBot="1">
      <c r="A1" s="457" t="str">
        <f>Plate!A1</f>
        <v xml:space="preserve">تاریخ : </v>
      </c>
      <c r="B1" s="457"/>
      <c r="C1" s="54"/>
      <c r="D1" s="54"/>
      <c r="E1" s="464" t="str">
        <f>Plate!C1</f>
        <v xml:space="preserve">نام پروژه : </v>
      </c>
      <c r="F1" s="464"/>
      <c r="G1" s="464"/>
      <c r="I1" s="18"/>
      <c r="J1" s="18"/>
      <c r="K1" s="18"/>
      <c r="L1" s="18"/>
      <c r="M1" s="18"/>
      <c r="N1" s="255" t="s">
        <v>144</v>
      </c>
      <c r="O1" s="255" t="s">
        <v>191</v>
      </c>
      <c r="P1" s="256" t="s">
        <v>14</v>
      </c>
      <c r="Q1" s="257" t="s">
        <v>88</v>
      </c>
      <c r="S1" s="18"/>
      <c r="T1" s="18"/>
    </row>
    <row r="2" spans="1:20" ht="23.25">
      <c r="A2" s="8"/>
      <c r="B2" s="463" t="s">
        <v>56</v>
      </c>
      <c r="C2" s="463"/>
      <c r="D2" s="463"/>
      <c r="E2" s="463"/>
      <c r="F2" s="463"/>
      <c r="G2" s="463"/>
      <c r="I2" s="18"/>
      <c r="J2" s="18"/>
      <c r="K2" s="18"/>
      <c r="L2" s="18"/>
      <c r="M2" s="18"/>
      <c r="N2" s="261" t="s">
        <v>190</v>
      </c>
      <c r="O2" s="258" t="s">
        <v>196</v>
      </c>
      <c r="P2" s="223" t="s">
        <v>24</v>
      </c>
      <c r="Q2" s="259">
        <v>12000000</v>
      </c>
      <c r="S2" s="18"/>
      <c r="T2" s="18"/>
    </row>
    <row r="3" spans="1:20" ht="20.25">
      <c r="A3" s="7" t="s">
        <v>67</v>
      </c>
      <c r="B3" s="465"/>
      <c r="C3" s="465"/>
      <c r="D3" s="465"/>
      <c r="E3" s="465"/>
      <c r="F3" s="465"/>
      <c r="G3" s="9"/>
      <c r="I3" s="18"/>
      <c r="J3" s="18"/>
      <c r="K3" s="18"/>
      <c r="L3" s="18"/>
      <c r="M3" s="18"/>
      <c r="N3" s="262" t="s">
        <v>192</v>
      </c>
      <c r="O3" s="258"/>
      <c r="P3" s="222" t="s">
        <v>24</v>
      </c>
      <c r="Q3" s="260">
        <v>350000</v>
      </c>
      <c r="S3" s="18"/>
      <c r="T3" s="18"/>
    </row>
    <row r="4" spans="1:20" ht="20.25" customHeight="1">
      <c r="A4" s="454"/>
      <c r="B4" s="454"/>
      <c r="C4" s="454"/>
      <c r="D4" s="454"/>
      <c r="E4" s="454"/>
      <c r="F4" s="454"/>
      <c r="G4" s="454"/>
      <c r="I4" s="18"/>
      <c r="J4" s="18"/>
      <c r="K4" s="18"/>
      <c r="L4" s="18"/>
      <c r="M4" s="18"/>
      <c r="N4" s="262" t="s">
        <v>193</v>
      </c>
      <c r="O4" s="258" t="s">
        <v>202</v>
      </c>
      <c r="P4" s="222" t="s">
        <v>42</v>
      </c>
      <c r="Q4" s="260">
        <v>1100000</v>
      </c>
      <c r="S4" s="18"/>
      <c r="T4" s="18"/>
    </row>
    <row r="5" spans="1:20" ht="18.75" thickBot="1">
      <c r="A5" s="454"/>
      <c r="B5" s="454"/>
      <c r="C5" s="454"/>
      <c r="D5" s="454"/>
      <c r="E5" s="454"/>
      <c r="F5" s="454"/>
      <c r="G5" s="454"/>
      <c r="I5" s="18"/>
      <c r="J5" s="18"/>
      <c r="K5" s="18"/>
      <c r="L5" s="18"/>
      <c r="M5" s="18"/>
      <c r="N5" s="262" t="s">
        <v>194</v>
      </c>
      <c r="O5" s="258" t="s">
        <v>197</v>
      </c>
      <c r="P5" s="222" t="s">
        <v>24</v>
      </c>
      <c r="Q5" s="260">
        <v>3500000</v>
      </c>
      <c r="S5" s="18"/>
      <c r="T5" s="18"/>
    </row>
    <row r="6" spans="1:20" ht="31.5" customHeight="1" thickBot="1">
      <c r="A6" s="195" t="s">
        <v>12</v>
      </c>
      <c r="B6" s="196" t="s">
        <v>13</v>
      </c>
      <c r="C6" s="196" t="s">
        <v>27</v>
      </c>
      <c r="D6" s="196" t="s">
        <v>14</v>
      </c>
      <c r="E6" s="254" t="s">
        <v>191</v>
      </c>
      <c r="F6" s="197" t="s">
        <v>29</v>
      </c>
      <c r="G6" s="198" t="s">
        <v>4</v>
      </c>
      <c r="I6" s="18"/>
      <c r="J6" s="18"/>
      <c r="K6" s="18"/>
      <c r="L6" s="18"/>
      <c r="M6" s="18"/>
      <c r="N6" s="262" t="s">
        <v>195</v>
      </c>
      <c r="O6" s="258" t="s">
        <v>203</v>
      </c>
      <c r="P6" s="222" t="s">
        <v>42</v>
      </c>
      <c r="Q6" s="260">
        <v>600000</v>
      </c>
      <c r="S6" s="18"/>
      <c r="T6" s="18"/>
    </row>
    <row r="7" spans="1:20" ht="21" customHeight="1">
      <c r="A7" s="39"/>
      <c r="B7" s="267"/>
      <c r="C7" s="268"/>
      <c r="D7" s="269"/>
      <c r="E7" s="258"/>
      <c r="F7" s="262"/>
      <c r="G7" s="31">
        <v>1</v>
      </c>
      <c r="I7" s="18"/>
      <c r="J7" s="18"/>
      <c r="K7" s="18"/>
      <c r="L7" s="18"/>
      <c r="M7" s="18"/>
      <c r="N7" s="262" t="s">
        <v>198</v>
      </c>
      <c r="O7" s="258" t="s">
        <v>199</v>
      </c>
      <c r="P7" s="222" t="s">
        <v>24</v>
      </c>
      <c r="Q7" s="260">
        <v>5500000</v>
      </c>
      <c r="S7" s="18"/>
      <c r="T7" s="18"/>
    </row>
    <row r="8" spans="1:20" ht="21" customHeight="1">
      <c r="A8" s="39"/>
      <c r="B8" s="267"/>
      <c r="C8" s="270"/>
      <c r="D8" s="271"/>
      <c r="E8" s="271"/>
      <c r="F8" s="262"/>
      <c r="G8" s="28">
        <v>2</v>
      </c>
      <c r="I8" s="18"/>
      <c r="J8" s="18"/>
      <c r="K8" s="18"/>
      <c r="L8" s="18"/>
      <c r="M8" s="18"/>
      <c r="N8" s="262" t="s">
        <v>201</v>
      </c>
      <c r="O8" s="258" t="s">
        <v>200</v>
      </c>
      <c r="P8" s="222" t="s">
        <v>24</v>
      </c>
      <c r="Q8" s="260">
        <v>2500000</v>
      </c>
      <c r="S8" s="18"/>
      <c r="T8" s="18"/>
    </row>
    <row r="9" spans="1:20" ht="21" customHeight="1">
      <c r="A9" s="39"/>
      <c r="B9" s="37"/>
      <c r="C9" s="80"/>
      <c r="D9" s="21"/>
      <c r="E9" s="21"/>
      <c r="F9" s="35"/>
      <c r="G9" s="28">
        <v>3</v>
      </c>
      <c r="I9" s="18"/>
      <c r="J9" s="18"/>
      <c r="K9" s="18"/>
      <c r="L9" s="18"/>
      <c r="M9" s="18"/>
      <c r="N9" s="262"/>
      <c r="O9" s="258"/>
      <c r="P9" s="222"/>
      <c r="Q9" s="260"/>
      <c r="S9" s="18"/>
      <c r="T9" s="18"/>
    </row>
    <row r="10" spans="1:20" s="3" customFormat="1" ht="21" customHeight="1">
      <c r="A10" s="39"/>
      <c r="B10" s="37"/>
      <c r="C10" s="80"/>
      <c r="D10" s="21"/>
      <c r="E10" s="21"/>
      <c r="F10" s="35"/>
      <c r="G10" s="28">
        <v>4</v>
      </c>
      <c r="I10" s="19"/>
      <c r="J10" s="19"/>
      <c r="K10" s="19"/>
      <c r="L10" s="19"/>
      <c r="M10" s="19"/>
      <c r="N10" s="19"/>
      <c r="O10" s="19"/>
      <c r="P10" s="19"/>
      <c r="Q10" s="19"/>
      <c r="S10" s="19"/>
      <c r="T10" s="19"/>
    </row>
    <row r="11" spans="1:20" s="3" customFormat="1" ht="21" customHeight="1">
      <c r="A11" s="39"/>
      <c r="B11" s="37"/>
      <c r="C11" s="80"/>
      <c r="D11" s="21"/>
      <c r="E11" s="21"/>
      <c r="F11" s="35"/>
      <c r="G11" s="28">
        <v>5</v>
      </c>
      <c r="I11" s="19"/>
      <c r="J11" s="19"/>
      <c r="K11" s="19"/>
      <c r="L11" s="19"/>
      <c r="M11" s="19"/>
      <c r="N11" s="19"/>
      <c r="O11" s="19"/>
      <c r="P11" s="19"/>
      <c r="Q11" s="19"/>
      <c r="S11" s="19"/>
      <c r="T11" s="19"/>
    </row>
    <row r="12" spans="1:20" ht="21" customHeight="1">
      <c r="A12" s="39"/>
      <c r="B12" s="37"/>
      <c r="C12" s="80"/>
      <c r="D12" s="21"/>
      <c r="E12" s="21"/>
      <c r="F12" s="35"/>
      <c r="G12" s="28">
        <v>6</v>
      </c>
      <c r="I12" s="18"/>
      <c r="J12" s="18"/>
      <c r="K12" s="18"/>
      <c r="L12" s="18"/>
      <c r="M12" s="18"/>
      <c r="N12" s="18"/>
      <c r="O12" s="18"/>
      <c r="P12" s="18"/>
      <c r="Q12" s="18"/>
      <c r="S12" s="18"/>
      <c r="T12" s="18"/>
    </row>
    <row r="13" spans="1:20" ht="21" customHeight="1">
      <c r="A13" s="39"/>
      <c r="B13" s="37"/>
      <c r="C13" s="80"/>
      <c r="D13" s="21"/>
      <c r="E13" s="21"/>
      <c r="F13" s="35"/>
      <c r="G13" s="28">
        <v>7</v>
      </c>
      <c r="I13" s="18"/>
      <c r="J13" s="18"/>
      <c r="K13" s="18"/>
      <c r="L13" s="18"/>
      <c r="M13" s="18"/>
      <c r="N13" s="18"/>
      <c r="O13" s="18"/>
      <c r="P13" s="18"/>
      <c r="Q13" s="18"/>
      <c r="S13" s="18"/>
      <c r="T13" s="18"/>
    </row>
    <row r="14" spans="1:20" ht="21" customHeight="1">
      <c r="A14" s="39"/>
      <c r="B14" s="37"/>
      <c r="C14" s="80"/>
      <c r="D14" s="21"/>
      <c r="E14" s="21"/>
      <c r="F14" s="35"/>
      <c r="G14" s="28">
        <v>8</v>
      </c>
      <c r="I14" s="18"/>
      <c r="J14" s="18"/>
      <c r="K14" s="18"/>
      <c r="L14" s="18"/>
      <c r="M14" s="18"/>
      <c r="N14" s="18"/>
      <c r="O14" s="18"/>
      <c r="P14" s="18"/>
      <c r="Q14" s="18"/>
      <c r="S14" s="18"/>
      <c r="T14" s="18"/>
    </row>
    <row r="15" spans="1:20" ht="21" customHeight="1">
      <c r="A15" s="39"/>
      <c r="B15" s="37"/>
      <c r="C15" s="80"/>
      <c r="D15" s="21"/>
      <c r="E15" s="21"/>
      <c r="F15" s="35"/>
      <c r="G15" s="28">
        <v>9</v>
      </c>
      <c r="I15" s="18"/>
      <c r="J15" s="18"/>
      <c r="K15" s="18"/>
      <c r="L15" s="18"/>
      <c r="M15" s="18"/>
      <c r="N15" s="18"/>
      <c r="O15" s="18"/>
      <c r="P15" s="18"/>
      <c r="Q15" s="18"/>
      <c r="S15" s="18"/>
      <c r="T15" s="18"/>
    </row>
    <row r="16" spans="1:20" ht="21" customHeight="1">
      <c r="A16" s="39"/>
      <c r="B16" s="37"/>
      <c r="C16" s="80"/>
      <c r="D16" s="21"/>
      <c r="E16" s="21"/>
      <c r="F16" s="35"/>
      <c r="G16" s="28">
        <v>10</v>
      </c>
      <c r="I16" s="18"/>
      <c r="J16" s="18"/>
      <c r="K16" s="18"/>
      <c r="L16" s="18"/>
      <c r="M16" s="18"/>
      <c r="N16" s="18"/>
      <c r="O16" s="18"/>
      <c r="P16" s="18"/>
      <c r="Q16" s="18"/>
      <c r="S16" s="18"/>
      <c r="T16" s="18"/>
    </row>
    <row r="17" spans="1:20" ht="21" customHeight="1">
      <c r="A17" s="39"/>
      <c r="B17" s="37"/>
      <c r="C17" s="80"/>
      <c r="D17" s="21"/>
      <c r="E17" s="21"/>
      <c r="F17" s="35"/>
      <c r="G17" s="28">
        <v>11</v>
      </c>
      <c r="I17" s="18"/>
      <c r="J17" s="18"/>
      <c r="K17" s="18"/>
      <c r="L17" s="18"/>
      <c r="M17" s="18"/>
      <c r="N17" s="18"/>
      <c r="O17" s="18"/>
      <c r="P17" s="18"/>
      <c r="Q17" s="18"/>
      <c r="S17" s="18"/>
      <c r="T17" s="18"/>
    </row>
    <row r="18" spans="1:20" ht="21" customHeight="1">
      <c r="A18" s="42"/>
      <c r="B18" s="38"/>
      <c r="C18" s="80"/>
      <c r="D18" s="80"/>
      <c r="E18" s="21"/>
      <c r="F18" s="35"/>
      <c r="G18" s="29">
        <v>12</v>
      </c>
      <c r="I18" s="18"/>
      <c r="J18" s="18"/>
      <c r="K18" s="18"/>
      <c r="L18" s="18"/>
      <c r="M18" s="18"/>
      <c r="N18" s="18"/>
      <c r="O18" s="18"/>
      <c r="P18" s="18"/>
      <c r="Q18" s="18"/>
      <c r="S18" s="18"/>
      <c r="T18" s="18"/>
    </row>
    <row r="19" spans="1:20" ht="21" customHeight="1">
      <c r="A19" s="42"/>
      <c r="B19" s="38"/>
      <c r="C19" s="80"/>
      <c r="D19" s="80"/>
      <c r="E19" s="21"/>
      <c r="F19" s="35"/>
      <c r="G19" s="29">
        <v>13</v>
      </c>
      <c r="I19" s="18"/>
      <c r="J19" s="18"/>
      <c r="K19" s="18"/>
      <c r="L19" s="18"/>
      <c r="M19" s="18"/>
      <c r="N19" s="18"/>
      <c r="O19" s="18"/>
      <c r="P19" s="18"/>
      <c r="Q19" s="18"/>
      <c r="S19" s="18"/>
      <c r="T19" s="18"/>
    </row>
    <row r="20" spans="1:20" ht="21" customHeight="1">
      <c r="A20" s="39"/>
      <c r="B20" s="37"/>
      <c r="C20" s="188"/>
      <c r="D20" s="22"/>
      <c r="E20" s="22"/>
      <c r="F20" s="41"/>
      <c r="G20" s="29">
        <v>14</v>
      </c>
      <c r="I20" s="18"/>
      <c r="J20" s="18"/>
      <c r="K20" s="18"/>
      <c r="L20" s="18"/>
      <c r="M20" s="18"/>
      <c r="N20" s="18"/>
      <c r="O20" s="18"/>
      <c r="P20" s="18"/>
      <c r="Q20" s="18"/>
      <c r="S20" s="18"/>
      <c r="T20" s="18"/>
    </row>
    <row r="21" spans="1:20" ht="21" customHeight="1">
      <c r="A21" s="39"/>
      <c r="B21" s="37"/>
      <c r="C21" s="188"/>
      <c r="D21" s="22"/>
      <c r="E21" s="22"/>
      <c r="F21" s="41"/>
      <c r="G21" s="29">
        <v>15</v>
      </c>
      <c r="I21" s="18"/>
      <c r="J21" s="18"/>
      <c r="K21" s="18"/>
      <c r="L21" s="18"/>
      <c r="M21" s="18"/>
      <c r="N21" s="18"/>
      <c r="O21" s="18"/>
      <c r="P21" s="18"/>
      <c r="Q21" s="18"/>
      <c r="S21" s="18"/>
      <c r="T21" s="18"/>
    </row>
    <row r="22" spans="1:20" ht="21" customHeight="1">
      <c r="A22" s="39"/>
      <c r="B22" s="37"/>
      <c r="C22" s="80"/>
      <c r="D22" s="21"/>
      <c r="E22" s="21"/>
      <c r="F22" s="35"/>
      <c r="G22" s="29">
        <v>16</v>
      </c>
      <c r="I22" s="18"/>
      <c r="J22" s="18"/>
      <c r="K22" s="18"/>
      <c r="L22" s="18"/>
      <c r="M22" s="18"/>
      <c r="N22" s="18"/>
      <c r="O22" s="18"/>
      <c r="P22" s="18"/>
      <c r="Q22" s="18"/>
      <c r="S22" s="18"/>
      <c r="T22" s="18"/>
    </row>
    <row r="23" spans="1:20" ht="21" customHeight="1">
      <c r="A23" s="39"/>
      <c r="B23" s="37"/>
      <c r="C23" s="80"/>
      <c r="D23" s="21"/>
      <c r="E23" s="21"/>
      <c r="F23" s="35"/>
      <c r="G23" s="29">
        <v>17</v>
      </c>
      <c r="I23" s="18"/>
      <c r="J23" s="18"/>
      <c r="K23" s="18"/>
      <c r="L23" s="18"/>
      <c r="M23" s="18"/>
      <c r="N23" s="18"/>
      <c r="O23" s="18"/>
      <c r="P23" s="18"/>
      <c r="Q23" s="18"/>
      <c r="S23" s="18"/>
      <c r="T23" s="18"/>
    </row>
    <row r="24" spans="1:20" ht="21" customHeight="1">
      <c r="A24" s="39"/>
      <c r="B24" s="37"/>
      <c r="C24" s="80"/>
      <c r="D24" s="21"/>
      <c r="E24" s="21"/>
      <c r="F24" s="35"/>
      <c r="G24" s="29">
        <v>21</v>
      </c>
      <c r="I24" s="18"/>
      <c r="J24" s="18"/>
      <c r="K24" s="18"/>
      <c r="L24" s="18"/>
      <c r="M24" s="18"/>
      <c r="N24" s="18"/>
      <c r="O24" s="18"/>
      <c r="P24" s="18"/>
      <c r="Q24" s="18"/>
      <c r="S24" s="18"/>
      <c r="T24" s="18"/>
    </row>
    <row r="25" spans="1:20" ht="21" customHeight="1">
      <c r="A25" s="39"/>
      <c r="B25" s="37"/>
      <c r="C25" s="80"/>
      <c r="D25" s="21"/>
      <c r="E25" s="21"/>
      <c r="F25" s="35"/>
      <c r="G25" s="29">
        <v>22</v>
      </c>
      <c r="I25" s="18"/>
      <c r="J25" s="18"/>
      <c r="K25" s="18"/>
      <c r="L25" s="18"/>
      <c r="M25" s="18"/>
      <c r="N25" s="18"/>
      <c r="O25" s="18"/>
      <c r="P25" s="18"/>
      <c r="Q25" s="18"/>
      <c r="S25" s="18"/>
      <c r="T25" s="18"/>
    </row>
    <row r="26" spans="1:20" ht="21" customHeight="1">
      <c r="A26" s="39"/>
      <c r="B26" s="37"/>
      <c r="C26" s="80"/>
      <c r="D26" s="21"/>
      <c r="E26" s="21"/>
      <c r="F26" s="35"/>
      <c r="G26" s="29">
        <v>23</v>
      </c>
      <c r="I26" s="18"/>
      <c r="J26" s="18"/>
      <c r="K26" s="18"/>
      <c r="L26" s="18"/>
      <c r="M26" s="18"/>
      <c r="N26" s="18"/>
      <c r="O26" s="18"/>
      <c r="P26" s="18"/>
      <c r="Q26" s="18"/>
      <c r="S26" s="18"/>
      <c r="T26" s="18"/>
    </row>
    <row r="27" spans="1:20" ht="21" customHeight="1" thickBot="1">
      <c r="A27" s="39"/>
      <c r="B27" s="37"/>
      <c r="C27" s="23"/>
      <c r="D27" s="24"/>
      <c r="E27" s="24"/>
      <c r="F27" s="36"/>
      <c r="G27" s="30">
        <v>24</v>
      </c>
      <c r="I27" s="18"/>
      <c r="J27" s="18"/>
      <c r="K27" s="18"/>
      <c r="L27" s="18"/>
      <c r="M27" s="18"/>
      <c r="N27" s="18"/>
      <c r="O27" s="18"/>
      <c r="P27" s="18"/>
      <c r="Q27" s="18"/>
      <c r="S27" s="18"/>
      <c r="T27" s="18"/>
    </row>
    <row r="28" spans="1:20" ht="28.5" customHeight="1" thickBot="1">
      <c r="A28" s="26">
        <v>0</v>
      </c>
      <c r="B28" s="461" t="s">
        <v>16</v>
      </c>
      <c r="C28" s="461"/>
      <c r="D28" s="461"/>
      <c r="E28" s="461"/>
      <c r="F28" s="461"/>
      <c r="G28" s="462"/>
      <c r="I28" s="18"/>
      <c r="J28" s="18"/>
      <c r="K28" s="18"/>
      <c r="L28" s="18"/>
      <c r="M28" s="18"/>
      <c r="N28" s="18"/>
      <c r="O28" s="18"/>
      <c r="P28" s="18"/>
      <c r="Q28" s="18"/>
      <c r="S28" s="18"/>
      <c r="T28" s="18"/>
    </row>
    <row r="29" spans="1:20" ht="19.5" customHeight="1">
      <c r="A29" s="20"/>
      <c r="B29" s="20"/>
      <c r="C29" s="20"/>
      <c r="D29" s="20"/>
      <c r="E29" s="20"/>
      <c r="F29" s="20"/>
      <c r="G29" s="20"/>
      <c r="I29" s="18"/>
      <c r="J29" s="18"/>
      <c r="K29" s="18"/>
      <c r="L29" s="18"/>
      <c r="M29" s="18"/>
      <c r="N29" s="18"/>
      <c r="O29" s="18"/>
      <c r="P29" s="18"/>
      <c r="Q29" s="18"/>
      <c r="S29" s="18"/>
      <c r="T29" s="18"/>
    </row>
    <row r="30" spans="1:20" ht="21" customHeight="1">
      <c r="A30" s="20"/>
      <c r="B30" s="20"/>
      <c r="C30" s="20"/>
      <c r="D30" s="20"/>
      <c r="E30" s="20"/>
      <c r="F30" s="20"/>
      <c r="G30" s="20"/>
      <c r="I30" s="18"/>
      <c r="J30" s="18"/>
      <c r="K30" s="18"/>
      <c r="L30" s="18"/>
      <c r="M30" s="18"/>
      <c r="N30" s="18"/>
      <c r="O30" s="18"/>
      <c r="P30" s="18"/>
      <c r="Q30" s="18"/>
      <c r="S30" s="18"/>
      <c r="T30" s="18"/>
    </row>
    <row r="31" spans="1:20" ht="21.75" customHeight="1">
      <c r="A31" s="20"/>
      <c r="B31" s="20"/>
      <c r="C31" s="20"/>
      <c r="D31" s="20"/>
      <c r="E31" s="20"/>
      <c r="F31" s="20"/>
      <c r="G31" s="20"/>
      <c r="I31" s="18"/>
      <c r="J31" s="18"/>
      <c r="K31" s="18"/>
      <c r="L31" s="18"/>
      <c r="M31" s="18"/>
      <c r="N31" s="18"/>
      <c r="O31" s="18"/>
      <c r="P31" s="18"/>
      <c r="Q31" s="18"/>
      <c r="S31" s="18"/>
      <c r="T31" s="18"/>
    </row>
    <row r="32" spans="1:20" ht="19.5" customHeight="1">
      <c r="A32" s="20"/>
      <c r="B32" s="20"/>
      <c r="C32" s="20"/>
      <c r="D32" s="20"/>
      <c r="E32" s="20"/>
      <c r="F32" s="20"/>
      <c r="G32" s="20"/>
      <c r="I32" s="18"/>
      <c r="J32" s="18"/>
      <c r="K32" s="18"/>
      <c r="L32" s="18"/>
      <c r="M32" s="18"/>
      <c r="N32" s="18"/>
      <c r="O32" s="18"/>
      <c r="P32" s="18"/>
      <c r="Q32" s="18"/>
      <c r="S32" s="18"/>
      <c r="T32" s="18"/>
    </row>
    <row r="33" spans="1:20" ht="21.75" customHeight="1">
      <c r="A33" s="20"/>
      <c r="B33" s="20"/>
      <c r="C33" s="20"/>
      <c r="D33" s="20"/>
      <c r="E33" s="20"/>
      <c r="F33" s="20"/>
      <c r="G33" s="20"/>
      <c r="I33" s="18"/>
      <c r="J33" s="18"/>
      <c r="K33" s="18"/>
      <c r="L33" s="18"/>
      <c r="M33" s="18"/>
      <c r="N33" s="18"/>
      <c r="O33" s="18"/>
      <c r="P33" s="18"/>
      <c r="Q33" s="18"/>
      <c r="S33" s="18"/>
      <c r="T33" s="18"/>
    </row>
    <row r="34" spans="1:20" ht="21.75" customHeight="1">
      <c r="A34" s="20"/>
      <c r="B34" s="20"/>
      <c r="C34" s="20"/>
      <c r="D34" s="20"/>
      <c r="E34" s="20"/>
      <c r="F34" s="20"/>
      <c r="G34" s="20"/>
      <c r="I34" s="18"/>
      <c r="J34" s="18"/>
      <c r="K34" s="18"/>
      <c r="L34" s="18"/>
      <c r="M34" s="18"/>
      <c r="N34" s="18"/>
      <c r="O34" s="18"/>
      <c r="P34" s="18"/>
      <c r="Q34" s="18"/>
      <c r="S34" s="18"/>
      <c r="T34" s="18"/>
    </row>
    <row r="35" spans="1:20" ht="21.75" customHeight="1">
      <c r="A35" s="20"/>
      <c r="B35" s="20"/>
      <c r="C35" s="20"/>
      <c r="D35" s="20"/>
      <c r="E35" s="20"/>
      <c r="F35" s="20"/>
      <c r="G35" s="20"/>
      <c r="I35" s="18"/>
      <c r="J35" s="18"/>
      <c r="K35" s="18"/>
      <c r="L35" s="18"/>
      <c r="M35" s="18"/>
      <c r="N35" s="18"/>
      <c r="O35" s="18"/>
      <c r="P35" s="18"/>
      <c r="Q35" s="18"/>
      <c r="S35" s="18"/>
      <c r="T35" s="18"/>
    </row>
    <row r="36" spans="1:20" ht="21.75" customHeight="1">
      <c r="A36" s="20"/>
      <c r="B36" s="20"/>
      <c r="C36" s="20"/>
      <c r="D36" s="20"/>
      <c r="E36" s="20"/>
      <c r="F36" s="20"/>
      <c r="G36" s="20"/>
      <c r="I36" s="18"/>
      <c r="J36" s="18"/>
      <c r="K36" s="18"/>
      <c r="L36" s="18"/>
      <c r="M36" s="18"/>
      <c r="N36" s="18"/>
      <c r="O36" s="18"/>
      <c r="P36" s="18"/>
      <c r="Q36" s="18"/>
      <c r="S36" s="18"/>
      <c r="T36" s="18"/>
    </row>
    <row r="37" spans="1:20" ht="21.75" customHeight="1">
      <c r="A37" s="20"/>
      <c r="B37" s="20"/>
      <c r="C37" s="20"/>
      <c r="D37" s="20"/>
      <c r="E37" s="20"/>
      <c r="F37" s="20"/>
      <c r="G37" s="20"/>
      <c r="I37" s="18"/>
      <c r="J37" s="18"/>
      <c r="K37" s="18"/>
      <c r="L37" s="18"/>
      <c r="M37" s="18"/>
      <c r="N37" s="18"/>
      <c r="O37" s="18"/>
      <c r="P37" s="18"/>
      <c r="Q37" s="18"/>
      <c r="S37" s="18"/>
      <c r="T37" s="18"/>
    </row>
    <row r="38" spans="1:20">
      <c r="A38" s="20"/>
      <c r="B38" s="20"/>
      <c r="C38" s="20"/>
      <c r="D38" s="20"/>
      <c r="E38" s="20"/>
      <c r="F38" s="20"/>
      <c r="G38" s="20"/>
      <c r="I38" s="18"/>
      <c r="J38" s="18"/>
      <c r="K38" s="18"/>
      <c r="L38" s="18"/>
      <c r="M38" s="18"/>
      <c r="N38" s="18"/>
      <c r="O38" s="18"/>
      <c r="P38" s="18"/>
      <c r="Q38" s="18"/>
      <c r="S38" s="18"/>
      <c r="T38" s="18"/>
    </row>
    <row r="39" spans="1:20">
      <c r="A39" s="20"/>
      <c r="B39" s="20"/>
      <c r="C39" s="20"/>
      <c r="D39" s="20"/>
      <c r="E39" s="20"/>
      <c r="F39" s="20"/>
      <c r="G39" s="20"/>
      <c r="I39" s="18"/>
      <c r="J39" s="18"/>
      <c r="K39" s="18"/>
      <c r="L39" s="18"/>
      <c r="M39" s="18"/>
      <c r="N39" s="18"/>
      <c r="O39" s="18"/>
      <c r="P39" s="18"/>
      <c r="Q39" s="18"/>
      <c r="S39" s="18"/>
      <c r="T39" s="18"/>
    </row>
    <row r="40" spans="1:20">
      <c r="A40" s="20"/>
      <c r="B40" s="20"/>
      <c r="C40" s="20"/>
      <c r="D40" s="20"/>
      <c r="E40" s="20"/>
      <c r="F40" s="20"/>
      <c r="G40" s="20"/>
      <c r="I40" s="18"/>
      <c r="J40" s="18"/>
      <c r="K40" s="18"/>
      <c r="L40" s="18"/>
      <c r="M40" s="18"/>
      <c r="N40" s="18"/>
      <c r="O40" s="18"/>
      <c r="P40" s="18"/>
      <c r="Q40" s="18"/>
      <c r="S40" s="18"/>
      <c r="T40" s="18"/>
    </row>
    <row r="41" spans="1:20">
      <c r="A41" s="20"/>
      <c r="B41" s="20"/>
      <c r="C41" s="20"/>
      <c r="D41" s="20"/>
      <c r="E41" s="20"/>
      <c r="F41" s="20"/>
      <c r="G41" s="20"/>
      <c r="I41" s="18"/>
      <c r="J41" s="18"/>
      <c r="K41" s="18"/>
      <c r="L41" s="18"/>
      <c r="M41" s="18"/>
      <c r="N41" s="18"/>
      <c r="O41" s="18"/>
      <c r="P41" s="18"/>
      <c r="Q41" s="18"/>
      <c r="S41" s="18"/>
      <c r="T41" s="18"/>
    </row>
    <row r="42" spans="1:20">
      <c r="A42" s="20"/>
      <c r="B42" s="20"/>
      <c r="C42" s="20"/>
      <c r="D42" s="20"/>
      <c r="E42" s="20"/>
      <c r="F42" s="20"/>
      <c r="G42" s="20"/>
      <c r="I42" s="18"/>
      <c r="J42" s="18"/>
      <c r="K42" s="18"/>
      <c r="L42" s="18"/>
      <c r="M42" s="18"/>
      <c r="N42" s="18"/>
      <c r="O42" s="18"/>
      <c r="P42" s="18"/>
      <c r="Q42" s="18"/>
      <c r="S42" s="18"/>
      <c r="T42" s="18"/>
    </row>
    <row r="43" spans="1:20">
      <c r="A43" s="20"/>
      <c r="B43" s="20"/>
      <c r="C43" s="20"/>
      <c r="D43" s="20"/>
      <c r="E43" s="20"/>
      <c r="F43" s="20"/>
      <c r="G43" s="20"/>
      <c r="I43" s="18"/>
      <c r="J43" s="18"/>
      <c r="K43" s="18"/>
      <c r="L43" s="18"/>
      <c r="M43" s="18"/>
      <c r="N43" s="18"/>
      <c r="O43" s="18"/>
      <c r="P43" s="18"/>
      <c r="Q43" s="18"/>
      <c r="S43" s="18"/>
      <c r="T43" s="18"/>
    </row>
    <row r="44" spans="1:20">
      <c r="A44" s="20"/>
      <c r="B44" s="20"/>
      <c r="C44" s="20"/>
      <c r="D44" s="20"/>
      <c r="E44" s="20"/>
      <c r="F44" s="20"/>
      <c r="G44" s="20"/>
      <c r="I44" s="18"/>
      <c r="J44" s="18"/>
      <c r="K44" s="18"/>
      <c r="L44" s="18"/>
      <c r="M44" s="18"/>
      <c r="N44" s="18"/>
      <c r="O44" s="18"/>
      <c r="P44" s="18"/>
      <c r="Q44" s="18"/>
      <c r="S44" s="18"/>
      <c r="T44" s="18"/>
    </row>
    <row r="45" spans="1:20">
      <c r="A45" s="20"/>
      <c r="B45" s="20"/>
      <c r="C45" s="20"/>
      <c r="D45" s="20"/>
      <c r="E45" s="20"/>
      <c r="F45" s="20"/>
      <c r="G45" s="20"/>
      <c r="I45" s="18"/>
      <c r="J45" s="18"/>
      <c r="K45" s="18"/>
      <c r="L45" s="18"/>
      <c r="M45" s="18"/>
      <c r="N45" s="18"/>
      <c r="O45" s="18"/>
      <c r="P45" s="18"/>
      <c r="Q45" s="18"/>
      <c r="S45" s="18"/>
      <c r="T45" s="18"/>
    </row>
    <row r="46" spans="1:20">
      <c r="A46" s="20"/>
      <c r="B46" s="20"/>
      <c r="C46" s="20"/>
      <c r="D46" s="20"/>
      <c r="E46" s="20"/>
      <c r="F46" s="20"/>
      <c r="G46" s="20"/>
      <c r="I46" s="18"/>
      <c r="J46" s="18"/>
      <c r="K46" s="18"/>
      <c r="L46" s="18"/>
      <c r="M46" s="18"/>
      <c r="N46" s="18"/>
      <c r="O46" s="18"/>
      <c r="P46" s="18"/>
      <c r="Q46" s="18"/>
      <c r="S46" s="18"/>
      <c r="T46" s="18"/>
    </row>
    <row r="47" spans="1:20">
      <c r="A47" s="20"/>
      <c r="B47" s="20"/>
      <c r="C47" s="20"/>
      <c r="D47" s="20"/>
      <c r="E47" s="20"/>
      <c r="F47" s="20"/>
      <c r="G47" s="20"/>
      <c r="I47" s="18"/>
      <c r="J47" s="18"/>
      <c r="K47" s="18"/>
      <c r="L47" s="18"/>
      <c r="M47" s="18"/>
      <c r="N47" s="18"/>
      <c r="O47" s="18"/>
      <c r="P47" s="18"/>
      <c r="Q47" s="18"/>
      <c r="S47" s="18"/>
      <c r="T47" s="18"/>
    </row>
    <row r="48" spans="1:20">
      <c r="A48" s="20"/>
      <c r="B48" s="20"/>
      <c r="C48" s="20"/>
      <c r="D48" s="20"/>
      <c r="E48" s="20"/>
      <c r="F48" s="20"/>
      <c r="G48" s="20"/>
      <c r="I48" s="18"/>
      <c r="J48" s="18"/>
      <c r="K48" s="18"/>
      <c r="L48" s="18"/>
      <c r="M48" s="18"/>
      <c r="N48" s="18"/>
      <c r="O48" s="18"/>
      <c r="P48" s="18"/>
      <c r="Q48" s="18"/>
      <c r="S48" s="18"/>
      <c r="T48" s="18"/>
    </row>
  </sheetData>
  <mergeCells count="6">
    <mergeCell ref="B2:G2"/>
    <mergeCell ref="B3:F3"/>
    <mergeCell ref="A4:G5"/>
    <mergeCell ref="B28:G28"/>
    <mergeCell ref="A1:B1"/>
    <mergeCell ref="E1:G1"/>
  </mergeCells>
  <pageMargins left="0.4" right="0.4" top="0.5" bottom="0.5" header="0.3" footer="0.3"/>
  <pageSetup paperSize="9" orientation="portrait" r:id="rId1"/>
  <headerFooter>
    <oddFooter>&amp;C
&amp;G&amp;R
&amp;G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C00000"/>
  </sheetPr>
  <dimension ref="A1:P51"/>
  <sheetViews>
    <sheetView view="pageBreakPreview" zoomScale="85" zoomScaleNormal="85" zoomScaleSheetLayoutView="85" workbookViewId="0">
      <selection activeCell="B34" sqref="B34:C34"/>
    </sheetView>
  </sheetViews>
  <sheetFormatPr defaultColWidth="8.85546875" defaultRowHeight="15"/>
  <cols>
    <col min="1" max="1" width="24.85546875" style="11" customWidth="1"/>
    <col min="2" max="2" width="55.7109375" style="6" customWidth="1"/>
    <col min="3" max="3" width="5.5703125" style="1" customWidth="1"/>
    <col min="4" max="16384" width="8.85546875" style="1"/>
  </cols>
  <sheetData>
    <row r="1" spans="1:16" ht="18">
      <c r="A1" s="59" t="str">
        <f>WoodTools!A1</f>
        <v xml:space="preserve">تاریخ : </v>
      </c>
      <c r="B1" s="485" t="str">
        <f>WoodTools!E1</f>
        <v xml:space="preserve">نام پروژه : </v>
      </c>
      <c r="C1" s="485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</row>
    <row r="2" spans="1:16" ht="23.25" customHeight="1">
      <c r="A2" s="463" t="s">
        <v>57</v>
      </c>
      <c r="B2" s="463"/>
      <c r="C2" s="463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</row>
    <row r="3" spans="1:16" ht="20.25">
      <c r="A3" s="7" t="s">
        <v>96</v>
      </c>
      <c r="B3" s="10"/>
      <c r="C3" s="9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</row>
    <row r="4" spans="1:16" ht="20.25" customHeight="1">
      <c r="A4" s="454"/>
      <c r="B4" s="454"/>
      <c r="C4" s="454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</row>
    <row r="5" spans="1:16" ht="15.75" thickBot="1">
      <c r="A5" s="454"/>
      <c r="B5" s="454"/>
      <c r="C5" s="454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</row>
    <row r="6" spans="1:16" ht="35.25" customHeight="1" thickBot="1">
      <c r="A6" s="195" t="s">
        <v>12</v>
      </c>
      <c r="B6" s="195" t="s">
        <v>68</v>
      </c>
      <c r="C6" s="195" t="s">
        <v>4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</row>
    <row r="7" spans="1:16" ht="20.25">
      <c r="A7" s="44">
        <f>Material!A31</f>
        <v>500000</v>
      </c>
      <c r="B7" s="49" t="s">
        <v>45</v>
      </c>
      <c r="C7" s="47">
        <v>1</v>
      </c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</row>
    <row r="8" spans="1:16" ht="20.25">
      <c r="A8" s="44">
        <f>BoreshKari!A31</f>
        <v>0</v>
      </c>
      <c r="B8" s="50" t="s">
        <v>46</v>
      </c>
      <c r="C8" s="47">
        <v>2</v>
      </c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</row>
    <row r="9" spans="1:16" ht="20.25">
      <c r="A9" s="44">
        <f>NavarShiarFarsi!A31</f>
        <v>0</v>
      </c>
      <c r="B9" s="50" t="s">
        <v>47</v>
      </c>
      <c r="C9" s="47">
        <v>3</v>
      </c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</row>
    <row r="10" spans="1:16" s="3" customFormat="1" ht="20.25">
      <c r="A10" s="44">
        <f>CNC!A31</f>
        <v>0</v>
      </c>
      <c r="B10" s="50" t="s">
        <v>48</v>
      </c>
      <c r="C10" s="47">
        <v>4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</row>
    <row r="11" spans="1:16" s="3" customFormat="1" ht="20.25">
      <c r="A11" s="44">
        <f>Fittings!A31</f>
        <v>0</v>
      </c>
      <c r="B11" s="50" t="s">
        <v>49</v>
      </c>
      <c r="C11" s="47">
        <v>5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</row>
    <row r="12" spans="1:16" ht="20.25">
      <c r="A12" s="44">
        <f>Painting!A31</f>
        <v>0</v>
      </c>
      <c r="B12" s="58" t="s">
        <v>212</v>
      </c>
      <c r="C12" s="47">
        <v>6</v>
      </c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1:16" ht="20.25">
      <c r="A13" s="44">
        <f>WoodTools!A28</f>
        <v>0</v>
      </c>
      <c r="B13" s="50" t="s">
        <v>50</v>
      </c>
      <c r="C13" s="47">
        <v>7</v>
      </c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1:16" ht="15.75">
      <c r="A14" s="44">
        <f>Plate!A31</f>
        <v>0</v>
      </c>
      <c r="B14" s="228" t="s">
        <v>159</v>
      </c>
      <c r="C14" s="47">
        <v>8</v>
      </c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1:16" ht="20.25">
      <c r="A15" s="44"/>
      <c r="B15" s="58"/>
      <c r="C15" s="47">
        <v>9</v>
      </c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1:16" ht="20.25">
      <c r="A16" s="44"/>
      <c r="B16" s="50"/>
      <c r="C16" s="47">
        <v>10</v>
      </c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ht="20.25" customHeight="1">
      <c r="A17" s="44"/>
      <c r="B17" s="50"/>
      <c r="C17" s="47">
        <v>11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1:16" ht="20.25">
      <c r="A18" s="45"/>
      <c r="B18" s="50"/>
      <c r="C18" s="48">
        <v>12</v>
      </c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1:16" ht="20.25">
      <c r="A19" s="45"/>
      <c r="B19" s="50"/>
      <c r="C19" s="48">
        <v>13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1:16" ht="20.25">
      <c r="A20" s="44"/>
      <c r="B20" s="51"/>
      <c r="C20" s="48">
        <v>14</v>
      </c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1:16" ht="20.25">
      <c r="A21" s="44"/>
      <c r="B21" s="51"/>
      <c r="C21" s="48">
        <v>15</v>
      </c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1:16" ht="20.25">
      <c r="A22" s="44"/>
      <c r="B22" s="50"/>
      <c r="C22" s="48">
        <v>16</v>
      </c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1:16" ht="20.25">
      <c r="A23" s="44"/>
      <c r="B23" s="50"/>
      <c r="C23" s="48">
        <v>17</v>
      </c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1:16" ht="20.25">
      <c r="A24" s="44"/>
      <c r="B24" s="50"/>
      <c r="C24" s="48">
        <v>18</v>
      </c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1:16" ht="20.25">
      <c r="A25" s="44"/>
      <c r="B25" s="50"/>
      <c r="C25" s="48">
        <v>19</v>
      </c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1:16" ht="21" thickBot="1">
      <c r="A26" s="189"/>
      <c r="B26" s="190"/>
      <c r="C26" s="48">
        <v>20</v>
      </c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1:16" ht="21" thickBot="1">
      <c r="A27" s="191">
        <f>SUM(A7:A26)*0.25</f>
        <v>125000</v>
      </c>
      <c r="B27" s="481" t="s">
        <v>93</v>
      </c>
      <c r="C27" s="482">
        <v>21</v>
      </c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1:16" ht="21" thickBot="1">
      <c r="A28" s="191">
        <f>SUM(A7:A26)*0.04</f>
        <v>20000</v>
      </c>
      <c r="B28" s="481" t="s">
        <v>97</v>
      </c>
      <c r="C28" s="482">
        <v>22</v>
      </c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1:16" ht="21" thickBot="1">
      <c r="A29" s="191">
        <f>SUM(A7:A26)*0.02</f>
        <v>10000</v>
      </c>
      <c r="B29" s="481" t="s">
        <v>51</v>
      </c>
      <c r="C29" s="482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ht="21" thickBot="1">
      <c r="A30" s="25">
        <f>SUM(A7:A26)*0.02</f>
        <v>10000</v>
      </c>
      <c r="B30" s="481" t="s">
        <v>52</v>
      </c>
      <c r="C30" s="482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ht="21" thickBot="1">
      <c r="A31" s="191">
        <f>SUM(A7:A26)*0.025</f>
        <v>12500</v>
      </c>
      <c r="B31" s="481" t="s">
        <v>84</v>
      </c>
      <c r="C31" s="482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ht="21" thickBot="1">
      <c r="A32" s="192">
        <f>SUM(A7:A26)+((SUM(A27:A31)))</f>
        <v>677500</v>
      </c>
      <c r="B32" s="481" t="s">
        <v>94</v>
      </c>
      <c r="C32" s="482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ht="21" thickBot="1">
      <c r="A33" s="192">
        <f>A32+(A32*0.22)</f>
        <v>826550</v>
      </c>
      <c r="B33" s="481" t="s">
        <v>281</v>
      </c>
      <c r="C33" s="482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1:16" ht="24" thickBot="1">
      <c r="A34" s="40"/>
      <c r="B34" s="483"/>
      <c r="C34" s="484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1:16" ht="24" thickBot="1">
      <c r="A35" s="46"/>
      <c r="B35" s="483"/>
      <c r="C35" s="484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1:16" ht="21.75" customHeight="1">
      <c r="A36" s="43"/>
      <c r="B36" s="20"/>
      <c r="C36" s="20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1:16" ht="21.75" customHeight="1">
      <c r="A37" s="43"/>
      <c r="B37" s="20"/>
      <c r="C37" s="20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1:16" ht="21.75" customHeight="1">
      <c r="A38" s="43"/>
      <c r="B38" s="20"/>
      <c r="C38" s="20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1:16" ht="21.75" customHeight="1">
      <c r="A39" s="43"/>
      <c r="B39" s="20"/>
      <c r="C39" s="20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1:16" ht="21.75" customHeight="1">
      <c r="A40" s="43"/>
      <c r="B40" s="20"/>
      <c r="C40" s="20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1:16" ht="15.75">
      <c r="A41" s="43"/>
      <c r="B41" s="20"/>
      <c r="C41" s="20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1:16" ht="15.75">
      <c r="A42" s="43"/>
      <c r="B42" s="20"/>
      <c r="C42" s="20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1:16" ht="15.75">
      <c r="A43" s="43"/>
      <c r="B43" s="20"/>
      <c r="C43" s="20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1:16" ht="15.75">
      <c r="A44" s="43"/>
      <c r="B44" s="20"/>
      <c r="C44" s="20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1:16" ht="15.75">
      <c r="A45" s="43"/>
      <c r="B45" s="20"/>
      <c r="C45" s="20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1:16" ht="15.75">
      <c r="A46" s="43"/>
      <c r="B46" s="20"/>
      <c r="C46" s="20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1:16" ht="15.75">
      <c r="A47" s="43"/>
      <c r="B47" s="20"/>
      <c r="C47" s="20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1:16" ht="15.75">
      <c r="A48" s="43"/>
      <c r="B48" s="20"/>
      <c r="C48" s="20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1:16" ht="15.75">
      <c r="A49" s="43"/>
      <c r="B49" s="20"/>
      <c r="C49" s="20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1:16" ht="15.75">
      <c r="A50" s="43"/>
      <c r="B50" s="20"/>
      <c r="C50" s="20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1:16"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</row>
  </sheetData>
  <mergeCells count="12">
    <mergeCell ref="B31:C31"/>
    <mergeCell ref="B32:C32"/>
    <mergeCell ref="B33:C33"/>
    <mergeCell ref="B35:C35"/>
    <mergeCell ref="B1:C1"/>
    <mergeCell ref="A2:C2"/>
    <mergeCell ref="A4:C5"/>
    <mergeCell ref="B29:C29"/>
    <mergeCell ref="B30:C30"/>
    <mergeCell ref="B34:C34"/>
    <mergeCell ref="B27:C27"/>
    <mergeCell ref="B28:C28"/>
  </mergeCells>
  <pageMargins left="0.39370078740157483" right="0.39370078740157483" top="0.51181102362204722" bottom="0.51181102362204722" header="0.31496062992125984" footer="0.31496062992125984"/>
  <pageSetup paperSize="9" orientation="portrait" r:id="rId1"/>
  <headerFooter>
    <oddFooter>&amp;L&amp;G&amp;C
&amp;R&amp;G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00B050"/>
  </sheetPr>
  <dimension ref="A1:X48"/>
  <sheetViews>
    <sheetView tabSelected="1" view="pageBreakPreview" zoomScale="110" zoomScaleNormal="100" zoomScaleSheetLayoutView="110" workbookViewId="0">
      <selection activeCell="A17" sqref="A17:I17"/>
    </sheetView>
  </sheetViews>
  <sheetFormatPr defaultColWidth="8.85546875" defaultRowHeight="15"/>
  <cols>
    <col min="1" max="1" width="15.7109375" style="1" customWidth="1"/>
    <col min="2" max="2" width="13.140625" style="1" customWidth="1"/>
    <col min="3" max="3" width="6.140625" style="1" customWidth="1"/>
    <col min="4" max="4" width="7.7109375" style="1" customWidth="1"/>
    <col min="5" max="5" width="12.28515625" style="1" customWidth="1"/>
    <col min="6" max="6" width="9.28515625" style="1" customWidth="1"/>
    <col min="7" max="7" width="5.7109375" style="1" customWidth="1"/>
    <col min="8" max="8" width="8.85546875" style="1"/>
    <col min="9" max="9" width="15" style="1" customWidth="1"/>
    <col min="10" max="10" width="15.7109375" style="1" customWidth="1"/>
    <col min="11" max="11" width="13.140625" style="1" customWidth="1"/>
    <col min="12" max="12" width="6.140625" style="1" customWidth="1"/>
    <col min="13" max="13" width="7.7109375" style="1" customWidth="1"/>
    <col min="14" max="14" width="12.28515625" style="1" customWidth="1"/>
    <col min="15" max="15" width="9.28515625" style="1" customWidth="1"/>
    <col min="16" max="16" width="5.7109375" style="1" customWidth="1"/>
    <col min="17" max="18" width="8.85546875" style="1"/>
    <col min="19" max="21" width="9.28515625" style="1" customWidth="1"/>
    <col min="22" max="22" width="8.85546875" style="1"/>
    <col min="23" max="23" width="28.7109375" style="1" bestFit="1" customWidth="1"/>
    <col min="24" max="24" width="26.7109375" style="1" customWidth="1"/>
    <col min="25" max="25" width="47.5703125" style="1" customWidth="1"/>
    <col min="26" max="26" width="24.28515625" style="1" customWidth="1"/>
    <col min="27" max="27" width="31.42578125" style="1" customWidth="1"/>
    <col min="28" max="16384" width="8.85546875" style="1"/>
  </cols>
  <sheetData>
    <row r="1" spans="1:24" ht="18">
      <c r="A1" s="489" t="str">
        <f>Plate!A1</f>
        <v xml:space="preserve">تاریخ : </v>
      </c>
      <c r="B1" s="489"/>
      <c r="C1" s="378"/>
      <c r="D1" s="490" t="s">
        <v>43</v>
      </c>
      <c r="E1" s="490"/>
      <c r="F1" s="379"/>
      <c r="G1" s="379"/>
      <c r="H1" s="380"/>
      <c r="I1" s="381"/>
      <c r="J1" s="489" t="str">
        <f>A1</f>
        <v xml:space="preserve">تاریخ : </v>
      </c>
      <c r="K1" s="489"/>
      <c r="L1" s="378"/>
      <c r="M1" s="490" t="s">
        <v>43</v>
      </c>
      <c r="N1" s="490"/>
      <c r="O1" s="379"/>
      <c r="P1" s="379"/>
      <c r="Q1" s="380"/>
      <c r="R1" s="381"/>
      <c r="S1" s="18"/>
      <c r="T1" s="18"/>
    </row>
    <row r="2" spans="1:24" ht="20.25">
      <c r="A2" s="494" t="s">
        <v>213</v>
      </c>
      <c r="B2" s="494"/>
      <c r="C2" s="382"/>
      <c r="D2" s="493" t="s">
        <v>214</v>
      </c>
      <c r="E2" s="493"/>
      <c r="F2" s="379"/>
      <c r="G2" s="379"/>
      <c r="H2" s="380"/>
      <c r="I2" s="381"/>
      <c r="J2" s="494" t="s">
        <v>213</v>
      </c>
      <c r="K2" s="494"/>
      <c r="L2" s="382"/>
      <c r="M2" s="493" t="s">
        <v>214</v>
      </c>
      <c r="N2" s="493"/>
      <c r="O2" s="379"/>
      <c r="P2" s="379"/>
      <c r="Q2" s="380"/>
      <c r="R2" s="381"/>
      <c r="S2" s="18"/>
      <c r="T2" s="18"/>
      <c r="W2" s="273">
        <f>Data!C2</f>
        <v>0</v>
      </c>
      <c r="X2" s="273" t="s">
        <v>219</v>
      </c>
    </row>
    <row r="3" spans="1:24" ht="20.25">
      <c r="A3" s="384"/>
      <c r="B3" s="383"/>
      <c r="C3" s="385"/>
      <c r="D3" s="493"/>
      <c r="E3" s="493"/>
      <c r="F3" s="379"/>
      <c r="G3" s="379"/>
      <c r="H3" s="380"/>
      <c r="I3" s="381"/>
      <c r="J3" s="384"/>
      <c r="K3" s="383"/>
      <c r="L3" s="385"/>
      <c r="M3" s="493"/>
      <c r="N3" s="493"/>
      <c r="O3" s="379"/>
      <c r="P3" s="379"/>
      <c r="Q3" s="380"/>
      <c r="R3" s="381"/>
      <c r="S3" s="18"/>
      <c r="T3" s="18"/>
      <c r="W3" s="273" t="s">
        <v>282</v>
      </c>
      <c r="X3" s="273" t="s">
        <v>220</v>
      </c>
    </row>
    <row r="4" spans="1:24" ht="20.25" customHeight="1">
      <c r="A4" s="491" t="s">
        <v>308</v>
      </c>
      <c r="B4" s="491"/>
      <c r="C4" s="491"/>
      <c r="D4" s="491"/>
      <c r="E4" s="491"/>
      <c r="F4" s="491"/>
      <c r="G4" s="491"/>
      <c r="H4" s="491"/>
      <c r="I4" s="491"/>
      <c r="J4" s="491" t="s">
        <v>309</v>
      </c>
      <c r="K4" s="491"/>
      <c r="L4" s="491"/>
      <c r="M4" s="491"/>
      <c r="N4" s="491"/>
      <c r="O4" s="491"/>
      <c r="P4" s="491"/>
      <c r="Q4" s="491"/>
      <c r="R4" s="491"/>
      <c r="S4" s="272"/>
      <c r="T4" s="272"/>
      <c r="U4" s="272"/>
      <c r="W4" s="273">
        <v>9152222028</v>
      </c>
      <c r="X4" s="273" t="s">
        <v>221</v>
      </c>
    </row>
    <row r="5" spans="1:24" ht="18" customHeight="1">
      <c r="A5" s="491"/>
      <c r="B5" s="491"/>
      <c r="C5" s="491"/>
      <c r="D5" s="491"/>
      <c r="E5" s="491"/>
      <c r="F5" s="491"/>
      <c r="G5" s="491"/>
      <c r="H5" s="491"/>
      <c r="I5" s="491"/>
      <c r="J5" s="491"/>
      <c r="K5" s="491"/>
      <c r="L5" s="491"/>
      <c r="M5" s="491"/>
      <c r="N5" s="491"/>
      <c r="O5" s="491"/>
      <c r="P5" s="491"/>
      <c r="Q5" s="491"/>
      <c r="R5" s="491"/>
      <c r="S5" s="272"/>
      <c r="T5" s="272"/>
      <c r="U5" s="272"/>
      <c r="W5" s="273" t="s">
        <v>282</v>
      </c>
      <c r="X5" s="273" t="s">
        <v>222</v>
      </c>
    </row>
    <row r="6" spans="1:24" ht="21" customHeight="1">
      <c r="A6" s="386"/>
      <c r="B6" s="386"/>
      <c r="C6" s="386"/>
      <c r="D6" s="386"/>
      <c r="E6" s="386"/>
      <c r="F6" s="386"/>
      <c r="G6" s="386"/>
      <c r="H6" s="380"/>
      <c r="I6" s="381"/>
      <c r="J6" s="386"/>
      <c r="K6" s="386"/>
      <c r="L6" s="386"/>
      <c r="M6" s="386"/>
      <c r="N6" s="386"/>
      <c r="O6" s="386"/>
      <c r="P6" s="386"/>
      <c r="Q6" s="380"/>
      <c r="R6" s="387" t="s">
        <v>227</v>
      </c>
      <c r="S6" s="18"/>
      <c r="T6" s="18"/>
      <c r="W6" s="274">
        <f>'روکش مالی'!A33</f>
        <v>826550</v>
      </c>
      <c r="X6" s="273" t="s">
        <v>223</v>
      </c>
    </row>
    <row r="7" spans="1:24" ht="21" customHeight="1">
      <c r="A7" s="386"/>
      <c r="B7" s="386"/>
      <c r="C7" s="386"/>
      <c r="D7" s="386"/>
      <c r="E7" s="386"/>
      <c r="F7" s="386"/>
      <c r="G7" s="386"/>
      <c r="H7" s="380"/>
      <c r="I7" s="387" t="s">
        <v>215</v>
      </c>
      <c r="J7" s="386"/>
      <c r="K7" s="386"/>
      <c r="L7" s="386"/>
      <c r="M7" s="386"/>
      <c r="N7" s="386"/>
      <c r="O7" s="386"/>
      <c r="P7" s="386"/>
      <c r="Q7" s="380"/>
      <c r="R7" s="388" t="s">
        <v>228</v>
      </c>
      <c r="S7" s="18"/>
      <c r="T7" s="18"/>
    </row>
    <row r="8" spans="1:24" ht="21" customHeight="1">
      <c r="A8" s="492" t="str">
        <f>W3</f>
        <v>قادری 6 طبقه همکف</v>
      </c>
      <c r="B8" s="492"/>
      <c r="C8" s="492"/>
      <c r="D8" s="389" t="s">
        <v>216</v>
      </c>
      <c r="E8" s="386"/>
      <c r="F8" s="386">
        <f>W2</f>
        <v>0</v>
      </c>
      <c r="G8" s="386"/>
      <c r="H8" s="380"/>
      <c r="I8" s="389" t="s">
        <v>306</v>
      </c>
      <c r="J8" s="386"/>
      <c r="K8" s="386"/>
      <c r="L8" s="386"/>
      <c r="M8" s="389"/>
      <c r="N8" s="386"/>
      <c r="O8" s="386"/>
      <c r="P8" s="386"/>
      <c r="Q8" s="380"/>
      <c r="R8" s="388" t="s">
        <v>274</v>
      </c>
      <c r="S8" s="18"/>
      <c r="T8" s="18"/>
    </row>
    <row r="9" spans="1:24" ht="21" customHeight="1">
      <c r="A9" s="386"/>
      <c r="B9" s="386"/>
      <c r="C9" s="386"/>
      <c r="D9" s="386"/>
      <c r="E9" s="386"/>
      <c r="F9" s="389" t="s">
        <v>218</v>
      </c>
      <c r="G9" s="486">
        <f>W4</f>
        <v>9152222028</v>
      </c>
      <c r="H9" s="486"/>
      <c r="I9" s="390" t="s">
        <v>217</v>
      </c>
      <c r="J9" s="386"/>
      <c r="K9" s="386"/>
      <c r="L9" s="386"/>
      <c r="M9" s="386"/>
      <c r="N9" s="386"/>
      <c r="O9" s="389"/>
      <c r="P9" s="486"/>
      <c r="Q9" s="486"/>
      <c r="R9" s="390"/>
      <c r="S9" s="18"/>
      <c r="T9" s="18"/>
    </row>
    <row r="10" spans="1:24" s="3" customFormat="1" ht="21" customHeight="1">
      <c r="A10" s="386"/>
      <c r="B10" s="386"/>
      <c r="C10" s="386"/>
      <c r="D10" s="386"/>
      <c r="E10" s="386"/>
      <c r="F10" s="386"/>
      <c r="G10" s="386"/>
      <c r="H10" s="391"/>
      <c r="I10" s="405" t="s">
        <v>307</v>
      </c>
      <c r="J10" s="386"/>
      <c r="K10" s="386"/>
      <c r="L10" s="386"/>
      <c r="M10" s="386"/>
      <c r="N10" s="386"/>
      <c r="O10" s="386"/>
      <c r="P10" s="386"/>
      <c r="Q10" s="391"/>
      <c r="R10" s="387" t="s">
        <v>230</v>
      </c>
      <c r="S10" s="19"/>
      <c r="T10" s="19"/>
    </row>
    <row r="11" spans="1:24" s="3" customFormat="1" ht="21" customHeight="1">
      <c r="A11" s="386"/>
      <c r="B11" s="386"/>
      <c r="C11" s="386"/>
      <c r="D11" s="386"/>
      <c r="E11" s="386"/>
      <c r="F11" s="386"/>
      <c r="G11" s="386"/>
      <c r="H11" s="391"/>
      <c r="I11" s="390" t="s">
        <v>305</v>
      </c>
      <c r="J11" s="386"/>
      <c r="K11" s="386"/>
      <c r="L11" s="386"/>
      <c r="M11" s="386"/>
      <c r="N11" s="386"/>
      <c r="O11" s="386"/>
      <c r="P11" s="386"/>
      <c r="Q11" s="391"/>
      <c r="R11" s="388" t="s">
        <v>229</v>
      </c>
      <c r="S11" s="19"/>
      <c r="T11" s="19"/>
    </row>
    <row r="12" spans="1:24" ht="21" customHeight="1">
      <c r="A12" s="386"/>
      <c r="B12" s="380"/>
      <c r="C12" s="386"/>
      <c r="D12" s="386"/>
      <c r="E12" s="386"/>
      <c r="F12" s="386" t="str">
        <f>W5</f>
        <v>قادری 6 طبقه همکف</v>
      </c>
      <c r="G12" s="386"/>
      <c r="H12" s="380"/>
      <c r="I12" s="387" t="s">
        <v>304</v>
      </c>
      <c r="J12" s="386"/>
      <c r="K12" s="380"/>
      <c r="L12" s="386"/>
      <c r="M12" s="386"/>
      <c r="N12" s="386"/>
      <c r="O12" s="386"/>
      <c r="P12" s="386"/>
      <c r="Q12" s="380"/>
      <c r="R12" s="388" t="s">
        <v>231</v>
      </c>
      <c r="S12" s="18"/>
      <c r="T12" s="18"/>
    </row>
    <row r="13" spans="1:24" ht="21" customHeight="1">
      <c r="A13" s="386"/>
      <c r="B13" s="386"/>
      <c r="C13" s="386"/>
      <c r="D13" s="386"/>
      <c r="E13" s="386"/>
      <c r="F13" s="386" t="s">
        <v>283</v>
      </c>
      <c r="G13" s="386"/>
      <c r="H13" s="380"/>
      <c r="I13" s="387" t="s">
        <v>303</v>
      </c>
      <c r="J13" s="386"/>
      <c r="K13" s="386"/>
      <c r="L13" s="386"/>
      <c r="M13" s="386"/>
      <c r="N13" s="386"/>
      <c r="O13" s="386"/>
      <c r="P13" s="386"/>
      <c r="Q13" s="380"/>
      <c r="R13" s="392" t="s">
        <v>232</v>
      </c>
      <c r="S13" s="18"/>
      <c r="T13" s="18"/>
    </row>
    <row r="14" spans="1:24" ht="21" customHeight="1">
      <c r="A14" s="386"/>
      <c r="B14" s="386"/>
      <c r="C14" s="386"/>
      <c r="D14" s="386"/>
      <c r="E14" s="386"/>
      <c r="F14" s="386"/>
      <c r="G14" s="386"/>
      <c r="H14" s="380"/>
      <c r="I14" s="393" t="s">
        <v>301</v>
      </c>
      <c r="J14" s="386"/>
      <c r="K14" s="386"/>
      <c r="L14" s="386"/>
      <c r="M14" s="386"/>
      <c r="N14" s="386"/>
      <c r="O14" s="386"/>
      <c r="P14" s="386"/>
      <c r="Q14" s="380"/>
      <c r="R14" s="394" t="s">
        <v>233</v>
      </c>
      <c r="S14" s="18"/>
      <c r="T14" s="18"/>
    </row>
    <row r="15" spans="1:24" ht="21" customHeight="1">
      <c r="A15" s="386"/>
      <c r="B15" s="386"/>
      <c r="C15" s="386"/>
      <c r="D15" s="386"/>
      <c r="E15" s="386"/>
      <c r="F15" s="386"/>
      <c r="G15" s="386"/>
      <c r="H15" s="380"/>
      <c r="I15" s="387" t="s">
        <v>302</v>
      </c>
      <c r="J15" s="386"/>
      <c r="K15" s="386"/>
      <c r="L15" s="386"/>
      <c r="M15" s="386"/>
      <c r="N15" s="386"/>
      <c r="O15" s="386"/>
      <c r="P15" s="386"/>
      <c r="Q15" s="394"/>
      <c r="R15" s="394" t="s">
        <v>273</v>
      </c>
      <c r="S15" s="18"/>
      <c r="T15" s="18"/>
    </row>
    <row r="16" spans="1:24" ht="21" customHeight="1">
      <c r="A16" s="395" t="s">
        <v>241</v>
      </c>
      <c r="B16" s="487">
        <f>W6</f>
        <v>826550</v>
      </c>
      <c r="C16" s="488"/>
      <c r="D16" s="488"/>
      <c r="E16" s="396"/>
      <c r="F16" s="396"/>
      <c r="G16" s="396"/>
      <c r="H16" s="380"/>
      <c r="I16" s="395" t="s">
        <v>300</v>
      </c>
      <c r="J16" s="395"/>
      <c r="K16" s="396"/>
      <c r="L16" s="386"/>
      <c r="M16" s="386"/>
      <c r="N16" s="396"/>
      <c r="O16" s="396"/>
      <c r="P16" s="396"/>
      <c r="Q16" s="380"/>
      <c r="R16" s="387" t="s">
        <v>234</v>
      </c>
      <c r="S16" s="18"/>
      <c r="T16" s="18"/>
    </row>
    <row r="17" spans="1:20" ht="21" customHeight="1">
      <c r="A17" s="520" t="str" cm="1">
        <f t="array" ref="A17">Faradars(B16)&amp;" ریال "</f>
        <v xml:space="preserve">هشتصد و بیست و شش هزار و پانصد و پنجاه ریال </v>
      </c>
      <c r="B17" s="520"/>
      <c r="C17" s="520"/>
      <c r="D17" s="520"/>
      <c r="E17" s="520"/>
      <c r="F17" s="520"/>
      <c r="G17" s="520"/>
      <c r="H17" s="520"/>
      <c r="I17" s="520"/>
      <c r="J17" s="386"/>
      <c r="K17" s="386"/>
      <c r="L17" s="386"/>
      <c r="M17" s="386"/>
      <c r="N17" s="386"/>
      <c r="O17" s="386"/>
      <c r="P17" s="386"/>
      <c r="Q17" s="380"/>
      <c r="R17" s="392" t="s">
        <v>235</v>
      </c>
      <c r="S17" s="18"/>
      <c r="T17" s="18"/>
    </row>
    <row r="18" spans="1:20" ht="21" customHeight="1">
      <c r="A18" s="386"/>
      <c r="B18" s="386"/>
      <c r="C18" s="386"/>
      <c r="D18" s="386"/>
      <c r="E18" s="386"/>
      <c r="F18" s="386"/>
      <c r="G18" s="386"/>
      <c r="H18" s="380"/>
      <c r="I18" s="388" t="s">
        <v>299</v>
      </c>
      <c r="J18" s="386"/>
      <c r="K18" s="386"/>
      <c r="L18" s="386"/>
      <c r="M18" s="386"/>
      <c r="N18" s="386"/>
      <c r="O18" s="386"/>
      <c r="P18" s="386"/>
      <c r="Q18" s="380"/>
      <c r="R18" s="388" t="s">
        <v>236</v>
      </c>
      <c r="S18" s="18"/>
      <c r="T18" s="18"/>
    </row>
    <row r="19" spans="1:20" ht="21" customHeight="1">
      <c r="A19" s="386"/>
      <c r="B19" s="386"/>
      <c r="C19" s="386"/>
      <c r="D19" s="386"/>
      <c r="E19" s="386"/>
      <c r="F19" s="386"/>
      <c r="G19" s="386"/>
      <c r="H19" s="380"/>
      <c r="I19" s="395" t="s">
        <v>298</v>
      </c>
      <c r="J19" s="386"/>
      <c r="K19" s="386"/>
      <c r="L19" s="386"/>
      <c r="M19" s="386"/>
      <c r="N19" s="386"/>
      <c r="O19" s="386"/>
      <c r="P19" s="386"/>
      <c r="Q19" s="380"/>
      <c r="R19" s="387" t="s">
        <v>237</v>
      </c>
      <c r="S19" s="18"/>
      <c r="T19" s="18"/>
    </row>
    <row r="20" spans="1:20" ht="21" customHeight="1">
      <c r="A20" s="386"/>
      <c r="B20" s="386"/>
      <c r="C20" s="386"/>
      <c r="D20" s="386"/>
      <c r="E20" s="386"/>
      <c r="F20" s="386"/>
      <c r="G20" s="386" t="s">
        <v>284</v>
      </c>
      <c r="H20" s="380"/>
      <c r="I20" s="387" t="s">
        <v>224</v>
      </c>
      <c r="J20" s="386"/>
      <c r="K20" s="386"/>
      <c r="L20" s="386"/>
      <c r="M20" s="386"/>
      <c r="N20" s="386"/>
      <c r="O20" s="386"/>
      <c r="P20" s="386"/>
      <c r="Q20" s="380"/>
      <c r="R20" s="392" t="s">
        <v>238</v>
      </c>
      <c r="S20" s="18"/>
      <c r="T20" s="18"/>
    </row>
    <row r="21" spans="1:20" ht="21" customHeight="1">
      <c r="A21" s="386"/>
      <c r="B21" s="386"/>
      <c r="C21" s="386"/>
      <c r="D21" s="386"/>
      <c r="E21" s="386"/>
      <c r="F21" s="386"/>
      <c r="G21" s="386"/>
      <c r="H21" s="380"/>
      <c r="I21" s="381"/>
      <c r="J21" s="386"/>
      <c r="K21" s="386"/>
      <c r="L21" s="386"/>
      <c r="M21" s="386"/>
      <c r="N21" s="386"/>
      <c r="O21" s="386"/>
      <c r="P21" s="386"/>
      <c r="Q21" s="380"/>
      <c r="R21" s="381"/>
      <c r="S21" s="18"/>
      <c r="T21" s="18"/>
    </row>
    <row r="22" spans="1:20" ht="21" customHeight="1">
      <c r="A22" s="386"/>
      <c r="B22" s="386"/>
      <c r="C22" s="386"/>
      <c r="D22" s="386"/>
      <c r="E22" s="386"/>
      <c r="F22" s="386"/>
      <c r="G22" s="386"/>
      <c r="H22" s="380"/>
      <c r="I22" s="387" t="s">
        <v>225</v>
      </c>
      <c r="J22" s="386"/>
      <c r="K22" s="386"/>
      <c r="L22" s="386"/>
      <c r="M22" s="386"/>
      <c r="N22" s="386"/>
      <c r="O22" s="386"/>
      <c r="P22" s="386"/>
      <c r="Q22" s="380"/>
      <c r="R22" s="387"/>
      <c r="S22" s="18"/>
      <c r="T22" s="18"/>
    </row>
    <row r="23" spans="1:20" ht="21" customHeight="1">
      <c r="A23" s="495" t="s">
        <v>297</v>
      </c>
      <c r="B23" s="495"/>
      <c r="C23" s="495"/>
      <c r="D23" s="495"/>
      <c r="E23" s="495"/>
      <c r="F23" s="495"/>
      <c r="G23" s="495"/>
      <c r="H23" s="495"/>
      <c r="I23" s="495"/>
      <c r="J23" s="386"/>
      <c r="K23" s="386"/>
      <c r="L23" s="386"/>
      <c r="M23" s="386"/>
      <c r="N23" s="488" t="s">
        <v>17</v>
      </c>
      <c r="O23" s="488"/>
      <c r="P23" s="488"/>
      <c r="Q23" s="397"/>
      <c r="R23" s="398"/>
      <c r="S23" s="18"/>
      <c r="T23" s="18"/>
    </row>
    <row r="24" spans="1:20" ht="21" customHeight="1">
      <c r="A24" s="495" t="s">
        <v>242</v>
      </c>
      <c r="B24" s="495"/>
      <c r="C24" s="495"/>
      <c r="D24" s="495"/>
      <c r="E24" s="495"/>
      <c r="F24" s="495"/>
      <c r="G24" s="495"/>
      <c r="H24" s="495"/>
      <c r="I24" s="495"/>
      <c r="J24" s="386"/>
      <c r="K24" s="386"/>
      <c r="L24" s="386"/>
      <c r="M24" s="386"/>
      <c r="N24" s="386"/>
      <c r="O24" s="386"/>
      <c r="P24" s="386"/>
      <c r="Q24" s="380"/>
      <c r="R24" s="398"/>
      <c r="S24" s="18"/>
      <c r="T24" s="18"/>
    </row>
    <row r="25" spans="1:20" ht="21" customHeight="1">
      <c r="A25" s="495" t="s">
        <v>296</v>
      </c>
      <c r="B25" s="495"/>
      <c r="C25" s="495"/>
      <c r="D25" s="495"/>
      <c r="E25" s="495"/>
      <c r="F25" s="495"/>
      <c r="G25" s="495"/>
      <c r="H25" s="495"/>
      <c r="I25" s="495"/>
      <c r="J25" s="386"/>
      <c r="K25" s="488" t="s">
        <v>240</v>
      </c>
      <c r="L25" s="488"/>
      <c r="M25" s="386"/>
      <c r="N25" s="386"/>
      <c r="O25" s="488" t="s">
        <v>239</v>
      </c>
      <c r="P25" s="488"/>
      <c r="Q25" s="488"/>
      <c r="R25" s="398"/>
      <c r="S25" s="18"/>
      <c r="T25" s="18"/>
    </row>
    <row r="26" spans="1:20" ht="21" customHeight="1">
      <c r="A26" s="495" t="s">
        <v>295</v>
      </c>
      <c r="B26" s="495"/>
      <c r="C26" s="495"/>
      <c r="D26" s="495"/>
      <c r="E26" s="495"/>
      <c r="F26" s="495"/>
      <c r="G26" s="495"/>
      <c r="H26" s="495"/>
      <c r="I26" s="495"/>
      <c r="J26" s="386"/>
      <c r="K26" s="488" t="s">
        <v>285</v>
      </c>
      <c r="L26" s="488"/>
      <c r="M26" s="386"/>
      <c r="N26" s="386"/>
      <c r="O26" s="488">
        <f>W2</f>
        <v>0</v>
      </c>
      <c r="P26" s="488"/>
      <c r="Q26" s="488"/>
      <c r="R26" s="393"/>
      <c r="S26" s="18"/>
      <c r="T26" s="18"/>
    </row>
    <row r="27" spans="1:20" ht="21" customHeight="1">
      <c r="A27" s="386"/>
      <c r="B27" s="386"/>
      <c r="C27" s="386"/>
      <c r="D27" s="386"/>
      <c r="E27" s="386"/>
      <c r="F27" s="386"/>
      <c r="G27" s="386"/>
      <c r="H27" s="380"/>
      <c r="I27" s="387" t="s">
        <v>226</v>
      </c>
      <c r="J27" s="386"/>
      <c r="K27" s="386"/>
      <c r="L27" s="386"/>
      <c r="M27" s="386"/>
      <c r="N27" s="386"/>
      <c r="O27" s="386"/>
      <c r="P27" s="386"/>
      <c r="Q27" s="380"/>
      <c r="R27" s="387"/>
      <c r="S27" s="18"/>
      <c r="T27" s="18"/>
    </row>
    <row r="28" spans="1:20" ht="21" customHeight="1">
      <c r="A28" s="386"/>
      <c r="B28" s="386"/>
      <c r="C28" s="386"/>
      <c r="D28" s="386"/>
      <c r="E28" s="386"/>
      <c r="F28" s="386"/>
      <c r="G28" s="386"/>
      <c r="H28" s="380"/>
      <c r="I28" s="399" t="s">
        <v>292</v>
      </c>
      <c r="J28" s="386"/>
      <c r="K28" s="386"/>
      <c r="L28" s="386"/>
      <c r="M28" s="386"/>
      <c r="N28" s="386"/>
      <c r="O28" s="386"/>
      <c r="P28" s="386"/>
      <c r="Q28" s="380"/>
      <c r="R28" s="400"/>
      <c r="S28" s="18"/>
      <c r="T28" s="18"/>
    </row>
    <row r="29" spans="1:20" ht="19.5" customHeight="1">
      <c r="A29" s="386"/>
      <c r="B29" s="386"/>
      <c r="C29" s="386"/>
      <c r="D29" s="386"/>
      <c r="E29" s="386"/>
      <c r="F29" s="386"/>
      <c r="G29" s="386"/>
      <c r="H29" s="380"/>
      <c r="I29" s="399" t="s">
        <v>291</v>
      </c>
      <c r="J29" s="386"/>
      <c r="K29" s="386"/>
      <c r="L29" s="386"/>
      <c r="M29" s="386"/>
      <c r="N29" s="386"/>
      <c r="O29" s="386"/>
      <c r="P29" s="386"/>
      <c r="Q29" s="380"/>
      <c r="R29" s="400"/>
      <c r="S29" s="18"/>
      <c r="T29" s="18"/>
    </row>
    <row r="30" spans="1:20" ht="21" customHeight="1">
      <c r="A30" s="386"/>
      <c r="B30" s="386"/>
      <c r="C30" s="386"/>
      <c r="D30" s="386"/>
      <c r="E30" s="386"/>
      <c r="F30" s="386"/>
      <c r="G30" s="386"/>
      <c r="H30" s="380"/>
      <c r="I30" s="399" t="s">
        <v>290</v>
      </c>
      <c r="J30" s="386"/>
      <c r="K30" s="386"/>
      <c r="L30" s="386"/>
      <c r="M30" s="386"/>
      <c r="N30" s="386"/>
      <c r="O30" s="386"/>
      <c r="P30" s="386"/>
      <c r="Q30" s="380"/>
      <c r="R30" s="400"/>
      <c r="S30" s="18"/>
      <c r="T30" s="18"/>
    </row>
    <row r="31" spans="1:20" ht="21.75" customHeight="1">
      <c r="A31" s="386"/>
      <c r="B31" s="386"/>
      <c r="C31" s="386"/>
      <c r="D31" s="386"/>
      <c r="E31" s="386"/>
      <c r="F31" s="386"/>
      <c r="G31" s="386"/>
      <c r="H31" s="380"/>
      <c r="I31" s="401" t="s">
        <v>289</v>
      </c>
      <c r="J31" s="386"/>
      <c r="K31" s="386"/>
      <c r="L31" s="386"/>
      <c r="M31" s="386"/>
      <c r="N31" s="386"/>
      <c r="O31" s="386"/>
      <c r="P31" s="386"/>
      <c r="Q31" s="380"/>
      <c r="R31" s="401"/>
      <c r="S31" s="18"/>
      <c r="T31" s="18"/>
    </row>
    <row r="32" spans="1:20" ht="19.5" customHeight="1">
      <c r="A32" s="386"/>
      <c r="B32" s="386"/>
      <c r="C32" s="386"/>
      <c r="D32" s="386"/>
      <c r="E32" s="386"/>
      <c r="F32" s="386"/>
      <c r="G32" s="386"/>
      <c r="H32" s="380"/>
      <c r="I32" s="392" t="s">
        <v>288</v>
      </c>
      <c r="J32" s="386"/>
      <c r="K32" s="396"/>
      <c r="L32" s="386"/>
      <c r="M32" s="386"/>
      <c r="N32" s="386"/>
      <c r="O32" s="386"/>
      <c r="P32" s="386"/>
      <c r="Q32" s="380"/>
      <c r="R32" s="392"/>
      <c r="S32" s="18"/>
      <c r="T32" s="18"/>
    </row>
    <row r="33" spans="1:21" ht="21.75" customHeight="1">
      <c r="A33" s="386"/>
      <c r="B33" s="386"/>
      <c r="C33" s="386"/>
      <c r="D33" s="386"/>
      <c r="E33" s="386"/>
      <c r="F33" s="386"/>
      <c r="G33" s="386"/>
      <c r="H33" s="380"/>
      <c r="I33" s="388" t="s">
        <v>287</v>
      </c>
      <c r="J33" s="386"/>
      <c r="K33" s="396"/>
      <c r="L33" s="386"/>
      <c r="M33" s="386"/>
      <c r="N33" s="386"/>
      <c r="O33" s="386"/>
      <c r="P33" s="386"/>
      <c r="Q33" s="380"/>
      <c r="R33" s="392"/>
      <c r="S33" s="18"/>
      <c r="T33" s="18"/>
    </row>
    <row r="34" spans="1:21" ht="21.75" customHeight="1">
      <c r="A34" s="386"/>
      <c r="B34" s="386"/>
      <c r="C34" s="386"/>
      <c r="D34" s="386"/>
      <c r="E34" s="386"/>
      <c r="F34" s="386"/>
      <c r="G34" s="386"/>
      <c r="H34" s="380"/>
      <c r="I34" s="392" t="s">
        <v>286</v>
      </c>
      <c r="J34" s="386"/>
      <c r="K34" s="396"/>
      <c r="L34" s="386"/>
      <c r="M34" s="386"/>
      <c r="N34" s="386"/>
      <c r="O34" s="386"/>
      <c r="P34" s="386"/>
      <c r="Q34" s="380"/>
      <c r="R34" s="392"/>
      <c r="S34" s="18"/>
      <c r="T34" s="18"/>
    </row>
    <row r="35" spans="1:21" ht="21.75" customHeight="1">
      <c r="A35" s="386"/>
      <c r="B35" s="386"/>
      <c r="C35" s="386"/>
      <c r="D35" s="386"/>
      <c r="E35" s="386"/>
      <c r="F35" s="386"/>
      <c r="G35" s="386"/>
      <c r="H35" s="380"/>
      <c r="I35" s="388" t="s">
        <v>293</v>
      </c>
      <c r="J35" s="386"/>
      <c r="K35" s="396"/>
      <c r="L35" s="386"/>
      <c r="M35" s="386"/>
      <c r="N35" s="386"/>
      <c r="O35" s="386"/>
      <c r="P35" s="386"/>
      <c r="Q35" s="380"/>
      <c r="R35" s="392"/>
      <c r="S35" s="18"/>
      <c r="T35" s="18"/>
    </row>
    <row r="36" spans="1:21" ht="21.75" customHeight="1">
      <c r="A36" s="386"/>
      <c r="B36" s="386"/>
      <c r="C36" s="386"/>
      <c r="D36" s="386"/>
      <c r="E36" s="386"/>
      <c r="F36" s="386"/>
      <c r="G36" s="386"/>
      <c r="H36" s="380"/>
      <c r="I36" s="388" t="s">
        <v>294</v>
      </c>
      <c r="J36" s="386"/>
      <c r="K36" s="386"/>
      <c r="L36" s="386"/>
      <c r="M36" s="386"/>
      <c r="N36" s="386"/>
      <c r="O36" s="386"/>
      <c r="P36" s="386"/>
      <c r="Q36" s="380"/>
      <c r="R36" s="392"/>
      <c r="S36" s="18"/>
      <c r="T36" s="18"/>
    </row>
    <row r="37" spans="1:21" ht="21.75" customHeight="1">
      <c r="A37" s="402"/>
      <c r="B37" s="402"/>
      <c r="C37" s="402"/>
      <c r="D37" s="402"/>
      <c r="E37" s="402"/>
      <c r="F37" s="402"/>
      <c r="G37" s="402"/>
      <c r="H37" s="403"/>
      <c r="I37" s="404"/>
      <c r="J37" s="402"/>
      <c r="K37" s="402"/>
      <c r="L37" s="402"/>
      <c r="M37" s="402"/>
      <c r="N37" s="402"/>
      <c r="O37" s="402"/>
      <c r="P37" s="402"/>
      <c r="Q37" s="403"/>
      <c r="R37" s="404"/>
      <c r="S37" s="20"/>
      <c r="T37" s="20"/>
      <c r="U37" s="20"/>
    </row>
    <row r="38" spans="1:21">
      <c r="A38" s="386"/>
      <c r="B38" s="386"/>
      <c r="C38" s="386"/>
      <c r="D38" s="386"/>
      <c r="E38" s="386"/>
      <c r="F38" s="386"/>
      <c r="G38" s="386"/>
      <c r="H38" s="380"/>
      <c r="I38" s="381"/>
      <c r="J38" s="386"/>
      <c r="K38" s="386"/>
      <c r="L38" s="386"/>
      <c r="M38" s="386"/>
      <c r="N38" s="386"/>
      <c r="O38" s="386"/>
      <c r="P38" s="386"/>
      <c r="Q38" s="380"/>
      <c r="R38" s="381"/>
      <c r="S38" s="18"/>
      <c r="T38" s="18"/>
    </row>
    <row r="39" spans="1:21">
      <c r="A39" s="20"/>
      <c r="B39" s="20"/>
      <c r="C39" s="20"/>
      <c r="D39" s="20"/>
      <c r="E39" s="20"/>
      <c r="F39" s="20"/>
      <c r="G39" s="20"/>
      <c r="I39" s="18"/>
      <c r="J39" s="20"/>
      <c r="K39" s="20"/>
      <c r="L39" s="20"/>
      <c r="M39" s="20"/>
      <c r="N39" s="20"/>
      <c r="O39" s="20"/>
      <c r="P39" s="20"/>
      <c r="R39" s="18"/>
      <c r="S39" s="18"/>
      <c r="T39" s="18"/>
    </row>
    <row r="40" spans="1:21">
      <c r="A40" s="20"/>
      <c r="B40" s="20"/>
      <c r="C40" s="20"/>
      <c r="D40" s="20"/>
      <c r="E40" s="20"/>
      <c r="F40" s="20"/>
      <c r="G40" s="20"/>
      <c r="I40" s="18"/>
      <c r="J40" s="20"/>
      <c r="K40" s="20"/>
      <c r="L40" s="20"/>
      <c r="M40" s="20"/>
      <c r="N40" s="20"/>
      <c r="O40" s="20"/>
      <c r="P40" s="20"/>
      <c r="R40" s="18"/>
      <c r="S40" s="18"/>
      <c r="T40" s="18"/>
    </row>
    <row r="41" spans="1:21">
      <c r="A41" s="20"/>
      <c r="B41" s="20"/>
      <c r="C41" s="20"/>
      <c r="D41" s="20"/>
      <c r="E41" s="20"/>
      <c r="F41" s="20"/>
      <c r="G41" s="20"/>
      <c r="I41" s="18"/>
      <c r="J41" s="20"/>
      <c r="K41" s="20"/>
      <c r="L41" s="20"/>
      <c r="M41" s="20"/>
      <c r="N41" s="20"/>
      <c r="O41" s="20"/>
      <c r="P41" s="20"/>
      <c r="R41" s="18"/>
      <c r="S41" s="18"/>
      <c r="T41" s="18"/>
    </row>
    <row r="42" spans="1:21">
      <c r="A42" s="20"/>
      <c r="B42" s="20"/>
      <c r="C42" s="20"/>
      <c r="D42" s="20"/>
      <c r="E42" s="20"/>
      <c r="F42" s="20"/>
      <c r="G42" s="20"/>
      <c r="I42" s="18"/>
      <c r="J42" s="20"/>
      <c r="K42" s="20"/>
      <c r="L42" s="20"/>
      <c r="M42" s="20"/>
      <c r="N42" s="20"/>
      <c r="O42" s="20"/>
      <c r="P42" s="20"/>
      <c r="R42" s="18"/>
      <c r="S42" s="18"/>
      <c r="T42" s="18"/>
    </row>
    <row r="43" spans="1:21">
      <c r="A43" s="20"/>
      <c r="B43" s="20"/>
      <c r="C43" s="20"/>
      <c r="D43" s="20"/>
      <c r="E43" s="20"/>
      <c r="F43" s="20"/>
      <c r="G43" s="20"/>
      <c r="I43" s="18"/>
      <c r="J43" s="20"/>
      <c r="K43" s="20"/>
      <c r="L43" s="20"/>
      <c r="M43" s="20"/>
      <c r="N43" s="20"/>
      <c r="O43" s="20"/>
      <c r="P43" s="20"/>
      <c r="R43" s="18"/>
      <c r="S43" s="18"/>
      <c r="T43" s="18"/>
    </row>
    <row r="44" spans="1:21">
      <c r="A44" s="20"/>
      <c r="B44" s="20"/>
      <c r="C44" s="20"/>
      <c r="D44" s="20"/>
      <c r="E44" s="20"/>
      <c r="F44" s="20"/>
      <c r="G44" s="20"/>
      <c r="I44" s="18"/>
      <c r="J44" s="20"/>
      <c r="K44" s="20"/>
      <c r="L44" s="20"/>
      <c r="M44" s="20"/>
      <c r="N44" s="20"/>
      <c r="O44" s="20"/>
      <c r="P44" s="20"/>
      <c r="R44" s="18"/>
      <c r="S44" s="18"/>
      <c r="T44" s="18"/>
    </row>
    <row r="45" spans="1:21">
      <c r="A45" s="20"/>
      <c r="B45" s="20"/>
      <c r="C45" s="20"/>
      <c r="D45" s="20"/>
      <c r="E45" s="20"/>
      <c r="F45" s="20"/>
      <c r="G45" s="20"/>
      <c r="I45" s="18"/>
      <c r="J45" s="20"/>
      <c r="K45" s="20"/>
      <c r="L45" s="20"/>
      <c r="M45" s="20"/>
      <c r="N45" s="20"/>
      <c r="O45" s="20"/>
      <c r="P45" s="20"/>
      <c r="R45" s="18"/>
      <c r="S45" s="18"/>
      <c r="T45" s="18"/>
    </row>
    <row r="46" spans="1:21">
      <c r="A46" s="20"/>
      <c r="B46" s="20"/>
      <c r="C46" s="20"/>
      <c r="D46" s="20"/>
      <c r="E46" s="20"/>
      <c r="F46" s="20"/>
      <c r="G46" s="20"/>
      <c r="I46" s="18"/>
      <c r="J46" s="20"/>
      <c r="K46" s="20"/>
      <c r="L46" s="20"/>
      <c r="M46" s="20"/>
      <c r="N46" s="20"/>
      <c r="O46" s="20"/>
      <c r="P46" s="20"/>
      <c r="R46" s="18"/>
      <c r="S46" s="18"/>
      <c r="T46" s="18"/>
    </row>
    <row r="47" spans="1:21">
      <c r="A47" s="20"/>
      <c r="B47" s="20"/>
      <c r="C47" s="20"/>
      <c r="D47" s="20"/>
      <c r="E47" s="20"/>
      <c r="F47" s="20"/>
      <c r="G47" s="20"/>
      <c r="I47" s="18"/>
      <c r="J47" s="20"/>
      <c r="K47" s="20"/>
      <c r="L47" s="20"/>
      <c r="M47" s="20"/>
      <c r="N47" s="20"/>
      <c r="O47" s="20"/>
      <c r="P47" s="20"/>
      <c r="R47" s="18"/>
      <c r="S47" s="18"/>
      <c r="T47" s="18"/>
    </row>
    <row r="48" spans="1:21">
      <c r="A48" s="20"/>
      <c r="B48" s="20"/>
      <c r="C48" s="20"/>
      <c r="D48" s="20"/>
      <c r="E48" s="20"/>
      <c r="F48" s="20"/>
      <c r="G48" s="20"/>
      <c r="I48" s="18"/>
      <c r="J48" s="20"/>
      <c r="K48" s="20"/>
      <c r="L48" s="20"/>
      <c r="M48" s="20"/>
      <c r="N48" s="20"/>
      <c r="O48" s="20"/>
      <c r="P48" s="20"/>
      <c r="R48" s="18"/>
      <c r="S48" s="18"/>
      <c r="T48" s="18"/>
    </row>
  </sheetData>
  <mergeCells count="26">
    <mergeCell ref="A17:I17"/>
    <mergeCell ref="A23:I23"/>
    <mergeCell ref="A24:I24"/>
    <mergeCell ref="A25:I25"/>
    <mergeCell ref="A26:I26"/>
    <mergeCell ref="N23:P23"/>
    <mergeCell ref="O25:Q25"/>
    <mergeCell ref="K25:L25"/>
    <mergeCell ref="K26:L26"/>
    <mergeCell ref="O26:Q26"/>
    <mergeCell ref="P9:Q9"/>
    <mergeCell ref="M1:N1"/>
    <mergeCell ref="J2:K2"/>
    <mergeCell ref="M2:N2"/>
    <mergeCell ref="M3:N3"/>
    <mergeCell ref="J4:R5"/>
    <mergeCell ref="G9:H9"/>
    <mergeCell ref="B16:D16"/>
    <mergeCell ref="J1:K1"/>
    <mergeCell ref="D1:E1"/>
    <mergeCell ref="A4:I5"/>
    <mergeCell ref="A8:C8"/>
    <mergeCell ref="A1:B1"/>
    <mergeCell ref="D2:E2"/>
    <mergeCell ref="D3:E3"/>
    <mergeCell ref="A2:B2"/>
  </mergeCells>
  <pageMargins left="0.39370078740157483" right="0.39370078740157483" top="0.51181102362204722" bottom="0.51181102362204722" header="0.31496062992125984" footer="0.31496062992125984"/>
  <pageSetup paperSize="9" orientation="portrait" r:id="rId1"/>
  <headerFooter>
    <oddHeader>&amp;R
&amp;G</oddHeader>
    <oddFooter>&amp;R دفتر:پیروزی3-رودکی 12
 کارگاه:طرح چی 25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>
    <tabColor rgb="FF0070C0"/>
  </sheetPr>
  <dimension ref="A1:G28"/>
  <sheetViews>
    <sheetView showWhiteSpace="0" view="pageLayout" zoomScale="90" zoomScaleNormal="80" zoomScalePageLayoutView="90" workbookViewId="0">
      <selection activeCell="D5" sqref="D5"/>
    </sheetView>
  </sheetViews>
  <sheetFormatPr defaultRowHeight="15"/>
  <cols>
    <col min="1" max="1" width="15.7109375" bestFit="1" customWidth="1"/>
    <col min="2" max="2" width="15.140625" bestFit="1" customWidth="1"/>
    <col min="3" max="3" width="14.42578125" bestFit="1" customWidth="1"/>
    <col min="4" max="4" width="11.85546875" customWidth="1"/>
    <col min="5" max="5" width="13.5703125" bestFit="1" customWidth="1"/>
    <col min="6" max="6" width="13.5703125" customWidth="1"/>
    <col min="7" max="7" width="6.7109375" customWidth="1"/>
  </cols>
  <sheetData>
    <row r="1" spans="1:7">
      <c r="A1" s="276"/>
      <c r="B1" s="276"/>
      <c r="C1" s="276"/>
      <c r="D1" s="276"/>
      <c r="E1" s="276"/>
      <c r="F1" s="276"/>
      <c r="G1" s="276"/>
    </row>
    <row r="3" spans="1:7" ht="15.75" thickBot="1"/>
    <row r="4" spans="1:7" ht="30" customHeight="1" thickBot="1">
      <c r="A4" s="277" t="s">
        <v>243</v>
      </c>
      <c r="B4" s="278" t="s">
        <v>244</v>
      </c>
      <c r="C4" s="279" t="s">
        <v>245</v>
      </c>
      <c r="D4" s="279" t="s">
        <v>246</v>
      </c>
      <c r="E4" s="498" t="s">
        <v>10</v>
      </c>
      <c r="F4" s="499"/>
      <c r="G4" s="277" t="s">
        <v>247</v>
      </c>
    </row>
    <row r="5" spans="1:7" ht="27" customHeight="1">
      <c r="A5" s="280">
        <f>B5</f>
        <v>0</v>
      </c>
      <c r="B5" s="281">
        <f>'روکش مالی'!A34</f>
        <v>0</v>
      </c>
      <c r="C5" s="282"/>
      <c r="D5" s="283"/>
      <c r="E5" s="496" t="s">
        <v>248</v>
      </c>
      <c r="F5" s="497"/>
      <c r="G5" s="284">
        <v>1</v>
      </c>
    </row>
    <row r="6" spans="1:7" ht="27" customHeight="1">
      <c r="A6" s="280"/>
      <c r="B6" s="285"/>
      <c r="C6" s="282"/>
      <c r="D6" s="283"/>
      <c r="E6" s="496"/>
      <c r="F6" s="497"/>
      <c r="G6" s="286">
        <v>2</v>
      </c>
    </row>
    <row r="7" spans="1:7" ht="27" customHeight="1">
      <c r="A7" s="280"/>
      <c r="B7" s="285"/>
      <c r="C7" s="282"/>
      <c r="D7" s="283"/>
      <c r="E7" s="496"/>
      <c r="F7" s="497"/>
      <c r="G7" s="286">
        <v>3</v>
      </c>
    </row>
    <row r="8" spans="1:7" ht="27" customHeight="1">
      <c r="A8" s="280"/>
      <c r="B8" s="281"/>
      <c r="C8" s="282"/>
      <c r="D8" s="283"/>
      <c r="E8" s="496"/>
      <c r="F8" s="497"/>
      <c r="G8" s="286">
        <v>4</v>
      </c>
    </row>
    <row r="9" spans="1:7" ht="27" customHeight="1">
      <c r="A9" s="280"/>
      <c r="B9" s="285"/>
      <c r="C9" s="282"/>
      <c r="D9" s="283"/>
      <c r="E9" s="496"/>
      <c r="F9" s="497"/>
      <c r="G9" s="286">
        <v>5</v>
      </c>
    </row>
    <row r="10" spans="1:7" ht="27" customHeight="1">
      <c r="A10" s="280"/>
      <c r="B10" s="285"/>
      <c r="C10" s="282"/>
      <c r="D10" s="283"/>
      <c r="E10" s="496"/>
      <c r="F10" s="497"/>
      <c r="G10" s="286">
        <v>6</v>
      </c>
    </row>
    <row r="11" spans="1:7" ht="27" customHeight="1">
      <c r="A11" s="280"/>
      <c r="B11" s="285"/>
      <c r="C11" s="282"/>
      <c r="D11" s="283"/>
      <c r="E11" s="496"/>
      <c r="F11" s="497"/>
      <c r="G11" s="286">
        <v>7</v>
      </c>
    </row>
    <row r="12" spans="1:7" ht="27" customHeight="1">
      <c r="A12" s="280"/>
      <c r="B12" s="285"/>
      <c r="C12" s="282"/>
      <c r="D12" s="283"/>
      <c r="E12" s="496"/>
      <c r="F12" s="497"/>
      <c r="G12" s="286">
        <v>8</v>
      </c>
    </row>
    <row r="13" spans="1:7" ht="27" customHeight="1">
      <c r="A13" s="280"/>
      <c r="B13" s="287"/>
      <c r="C13" s="288"/>
      <c r="D13" s="289"/>
      <c r="E13" s="500"/>
      <c r="F13" s="501"/>
      <c r="G13" s="290">
        <v>9</v>
      </c>
    </row>
    <row r="14" spans="1:7" ht="27" customHeight="1">
      <c r="A14" s="280"/>
      <c r="B14" s="285"/>
      <c r="C14" s="282"/>
      <c r="D14" s="283"/>
      <c r="E14" s="496"/>
      <c r="F14" s="497"/>
      <c r="G14" s="286">
        <v>10</v>
      </c>
    </row>
    <row r="15" spans="1:7" ht="27" customHeight="1">
      <c r="A15" s="280"/>
      <c r="B15" s="285"/>
      <c r="C15" s="282"/>
      <c r="D15" s="283"/>
      <c r="E15" s="496"/>
      <c r="F15" s="497"/>
      <c r="G15" s="286">
        <v>11</v>
      </c>
    </row>
    <row r="16" spans="1:7" ht="27" customHeight="1">
      <c r="A16" s="280"/>
      <c r="B16" s="285"/>
      <c r="C16" s="282"/>
      <c r="D16" s="283"/>
      <c r="E16" s="496"/>
      <c r="F16" s="497"/>
      <c r="G16" s="286">
        <v>12</v>
      </c>
    </row>
    <row r="17" spans="1:7" ht="27" customHeight="1">
      <c r="A17" s="280"/>
      <c r="B17" s="285"/>
      <c r="C17" s="282"/>
      <c r="D17" s="283"/>
      <c r="E17" s="496"/>
      <c r="F17" s="497"/>
      <c r="G17" s="286">
        <v>14</v>
      </c>
    </row>
    <row r="18" spans="1:7" ht="27" customHeight="1">
      <c r="A18" s="280"/>
      <c r="B18" s="285"/>
      <c r="C18" s="282"/>
      <c r="D18" s="283"/>
      <c r="E18" s="496"/>
      <c r="F18" s="497"/>
      <c r="G18" s="286">
        <v>15</v>
      </c>
    </row>
    <row r="19" spans="1:7" ht="27" customHeight="1" thickBot="1">
      <c r="A19" s="280"/>
      <c r="B19" s="287"/>
      <c r="C19" s="288"/>
      <c r="D19" s="289"/>
      <c r="E19" s="500"/>
      <c r="F19" s="501"/>
      <c r="G19" s="290">
        <v>16</v>
      </c>
    </row>
    <row r="20" spans="1:7" ht="27" customHeight="1" thickBot="1">
      <c r="A20" s="291">
        <f t="shared" ref="A20" si="0">A19</f>
        <v>0</v>
      </c>
      <c r="B20" s="503" t="s">
        <v>249</v>
      </c>
      <c r="C20" s="504"/>
      <c r="D20" s="504"/>
      <c r="E20" s="504"/>
      <c r="F20" s="504"/>
      <c r="G20" s="505"/>
    </row>
    <row r="21" spans="1:7" ht="18.75">
      <c r="F21" s="292"/>
    </row>
    <row r="22" spans="1:7" ht="18.75">
      <c r="F22" s="292"/>
    </row>
    <row r="23" spans="1:7" ht="18.75">
      <c r="F23" s="292"/>
    </row>
    <row r="24" spans="1:7" ht="18.75">
      <c r="E24" s="292"/>
      <c r="F24" s="293"/>
    </row>
    <row r="25" spans="1:7" ht="18.75">
      <c r="F25" s="293"/>
    </row>
    <row r="26" spans="1:7" ht="18.75">
      <c r="F26" s="292"/>
    </row>
    <row r="27" spans="1:7" ht="18.75" customHeight="1">
      <c r="B27" s="502"/>
      <c r="C27" s="502"/>
    </row>
    <row r="28" spans="1:7" ht="18.75" customHeight="1">
      <c r="B28" s="502"/>
      <c r="C28" s="502"/>
    </row>
  </sheetData>
  <mergeCells count="19">
    <mergeCell ref="B28:C28"/>
    <mergeCell ref="E16:F16"/>
    <mergeCell ref="E17:F17"/>
    <mergeCell ref="E18:F18"/>
    <mergeCell ref="E19:F19"/>
    <mergeCell ref="B20:G20"/>
    <mergeCell ref="B27:C27"/>
    <mergeCell ref="E15:F15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13:F13"/>
    <mergeCell ref="E14:F14"/>
  </mergeCells>
  <phoneticPr fontId="62" type="noConversion"/>
  <pageMargins left="0.27559055118110237" right="0.19685039370078741" top="1.4960629921259843" bottom="0.98425196850393704" header="0.31496062992125984" footer="0.31496062992125984"/>
  <pageSetup paperSize="9" orientation="portrait" r:id="rId1"/>
  <headerFooter>
    <oddHeader>&amp;L
      تاریخ : 1402/02/19 
      شماره:     402/70135 
                  پیوست : ندارد            
&amp;C
&amp;"Mj_Ashgar,Regular"روکش مالی &amp;R&amp;G
مهندس پور مرادی-ابونصر</oddHeader>
  </headerFooter>
  <legacyDrawingHF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B1:P14"/>
  <sheetViews>
    <sheetView view="pageLayout" zoomScaleNormal="100" workbookViewId="0">
      <selection activeCell="H3" sqref="H1:L1048576"/>
    </sheetView>
  </sheetViews>
  <sheetFormatPr defaultRowHeight="15"/>
  <cols>
    <col min="2" max="2" width="7.5703125" customWidth="1"/>
    <col min="3" max="3" width="11.5703125" customWidth="1"/>
    <col min="4" max="4" width="16.140625" customWidth="1"/>
    <col min="5" max="5" width="13.7109375" customWidth="1"/>
    <col min="6" max="6" width="33.7109375" customWidth="1"/>
    <col min="7" max="7" width="8.42578125" customWidth="1"/>
    <col min="8" max="8" width="5.42578125" customWidth="1"/>
    <col min="9" max="9" width="10.42578125" bestFit="1" customWidth="1"/>
    <col min="10" max="10" width="15.28515625" style="307" customWidth="1"/>
    <col min="11" max="11" width="19.28515625" style="307" customWidth="1"/>
    <col min="12" max="12" width="26.42578125" style="275" customWidth="1"/>
    <col min="20" max="20" width="13.5703125" customWidth="1"/>
    <col min="21" max="21" width="14.85546875" customWidth="1"/>
    <col min="22" max="22" width="31.85546875" customWidth="1"/>
  </cols>
  <sheetData>
    <row r="1" spans="2:16" ht="14.25" customHeight="1">
      <c r="B1" s="506" t="s">
        <v>254</v>
      </c>
      <c r="C1" s="506"/>
      <c r="D1" s="506"/>
      <c r="E1" s="506"/>
      <c r="F1" s="506"/>
      <c r="H1" s="506" t="s">
        <v>251</v>
      </c>
      <c r="I1" s="506"/>
      <c r="J1" s="506"/>
      <c r="K1" s="506"/>
      <c r="L1" s="506"/>
    </row>
    <row r="2" spans="2:16" ht="14.25" customHeight="1">
      <c r="B2" s="506"/>
      <c r="C2" s="506"/>
      <c r="D2" s="506"/>
      <c r="E2" s="506"/>
      <c r="F2" s="506"/>
      <c r="H2" s="506"/>
      <c r="I2" s="506"/>
      <c r="J2" s="506"/>
      <c r="K2" s="506"/>
      <c r="L2" s="506"/>
    </row>
    <row r="3" spans="2:16" ht="35.25" customHeight="1" thickBot="1">
      <c r="B3" s="296" t="s">
        <v>4</v>
      </c>
      <c r="C3" s="297" t="s">
        <v>250</v>
      </c>
      <c r="D3" s="297" t="s">
        <v>252</v>
      </c>
      <c r="E3" s="297" t="s">
        <v>253</v>
      </c>
      <c r="F3" s="297" t="s">
        <v>44</v>
      </c>
      <c r="H3" s="296" t="s">
        <v>4</v>
      </c>
      <c r="I3" s="297" t="s">
        <v>250</v>
      </c>
      <c r="J3" s="297" t="s">
        <v>252</v>
      </c>
      <c r="K3" s="297" t="s">
        <v>253</v>
      </c>
      <c r="L3" s="297" t="s">
        <v>44</v>
      </c>
    </row>
    <row r="4" spans="2:16" ht="18.75" customHeight="1" thickTop="1" thickBot="1">
      <c r="B4" s="295">
        <v>1</v>
      </c>
      <c r="C4" s="294"/>
      <c r="D4" s="304"/>
      <c r="E4" s="308"/>
      <c r="F4" s="311"/>
      <c r="H4" s="295">
        <v>1</v>
      </c>
      <c r="I4" s="294"/>
      <c r="J4" s="304"/>
      <c r="K4" s="308"/>
      <c r="L4" s="311"/>
    </row>
    <row r="5" spans="2:16" ht="18.75" customHeight="1" thickTop="1" thickBot="1">
      <c r="B5" s="295">
        <v>2</v>
      </c>
      <c r="C5" s="294"/>
      <c r="D5" s="305"/>
      <c r="E5" s="309"/>
      <c r="F5" s="311"/>
      <c r="H5" s="295">
        <v>2</v>
      </c>
      <c r="I5" s="300"/>
      <c r="J5" s="305"/>
      <c r="K5" s="309"/>
      <c r="L5" s="311"/>
    </row>
    <row r="6" spans="2:16" ht="18.75" customHeight="1" thickTop="1" thickBot="1">
      <c r="B6" s="298">
        <v>3</v>
      </c>
      <c r="C6" s="294"/>
      <c r="D6" s="305"/>
      <c r="E6" s="310"/>
      <c r="F6" s="312"/>
      <c r="H6" s="298">
        <v>3</v>
      </c>
      <c r="I6" s="299"/>
      <c r="J6" s="306"/>
      <c r="K6" s="310"/>
      <c r="L6" s="312"/>
      <c r="N6" s="301"/>
      <c r="O6" s="302"/>
      <c r="P6" s="303"/>
    </row>
    <row r="7" spans="2:16" ht="18.75" customHeight="1" thickTop="1" thickBot="1">
      <c r="B7" s="298">
        <v>4</v>
      </c>
      <c r="C7" s="294"/>
      <c r="D7" s="305"/>
      <c r="E7" s="307"/>
      <c r="F7" s="312"/>
      <c r="H7" s="298">
        <v>4</v>
      </c>
      <c r="L7" s="312"/>
      <c r="N7" s="301"/>
      <c r="O7" s="302"/>
      <c r="P7" s="303"/>
    </row>
    <row r="8" spans="2:16" ht="18.75" customHeight="1" thickTop="1" thickBot="1">
      <c r="B8" s="298">
        <v>5</v>
      </c>
      <c r="D8" s="307"/>
      <c r="E8" s="307"/>
      <c r="F8" s="312"/>
      <c r="H8" s="298">
        <v>5</v>
      </c>
      <c r="L8" s="312"/>
    </row>
    <row r="9" spans="2:16" ht="18.75" customHeight="1" thickBot="1">
      <c r="B9" s="298">
        <v>6</v>
      </c>
      <c r="D9" s="307"/>
      <c r="E9" s="307"/>
      <c r="F9" s="312"/>
      <c r="H9" s="298">
        <v>6</v>
      </c>
      <c r="L9" s="312"/>
    </row>
    <row r="10" spans="2:16" ht="18.75" customHeight="1" thickBot="1">
      <c r="B10" s="298">
        <v>7</v>
      </c>
      <c r="D10" s="307"/>
      <c r="E10" s="307"/>
      <c r="F10" s="312"/>
      <c r="H10" s="298">
        <v>7</v>
      </c>
      <c r="L10" s="312"/>
    </row>
    <row r="11" spans="2:16" ht="18.75" customHeight="1" thickBot="1">
      <c r="B11" s="298">
        <v>8</v>
      </c>
      <c r="D11" s="307"/>
      <c r="E11" s="307"/>
      <c r="F11" s="312"/>
      <c r="H11" s="298">
        <v>8</v>
      </c>
      <c r="L11" s="312"/>
    </row>
    <row r="12" spans="2:16" ht="18.75" customHeight="1" thickBot="1">
      <c r="B12" s="298">
        <v>9</v>
      </c>
      <c r="D12" s="307"/>
      <c r="E12" s="307"/>
      <c r="F12" s="312"/>
      <c r="H12" s="298">
        <v>9</v>
      </c>
      <c r="L12" s="312"/>
    </row>
    <row r="13" spans="2:16" ht="18.75" customHeight="1" thickBot="1">
      <c r="B13" s="298">
        <v>10</v>
      </c>
      <c r="D13" s="307"/>
      <c r="E13" s="307"/>
      <c r="F13" s="312"/>
      <c r="H13" s="298">
        <v>10</v>
      </c>
      <c r="L13" s="312"/>
    </row>
    <row r="14" spans="2:16" ht="18.75" customHeight="1">
      <c r="B14" s="298">
        <v>11</v>
      </c>
      <c r="D14" s="307"/>
      <c r="E14" s="307"/>
      <c r="F14" s="312"/>
      <c r="H14" s="298">
        <v>11</v>
      </c>
      <c r="L14" s="312"/>
    </row>
  </sheetData>
  <mergeCells count="2">
    <mergeCell ref="H1:L2"/>
    <mergeCell ref="B1:F2"/>
  </mergeCells>
  <pageMargins left="0.19685039370078741" right="0.19685039370078741" top="0.78740157480314965" bottom="0.39370078740157483" header="0.31496062992125984" footer="0.31496062992125984"/>
  <pageSetup paperSize="9" orientation="portrait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3:N23"/>
  <sheetViews>
    <sheetView view="pageLayout" zoomScaleNormal="100" workbookViewId="0">
      <selection activeCell="M8" sqref="M8:M13"/>
    </sheetView>
  </sheetViews>
  <sheetFormatPr defaultRowHeight="15"/>
  <cols>
    <col min="14" max="14" width="11.5703125" customWidth="1"/>
  </cols>
  <sheetData>
    <row r="3" spans="1:14" ht="14.25" customHeight="1">
      <c r="A3" s="313"/>
      <c r="B3" s="313"/>
      <c r="C3" s="313"/>
      <c r="D3" s="313"/>
      <c r="E3" s="313"/>
      <c r="F3" s="313"/>
      <c r="G3" s="513" t="s">
        <v>256</v>
      </c>
      <c r="H3" s="513"/>
      <c r="I3" s="313"/>
      <c r="J3" s="313"/>
      <c r="K3" s="313"/>
      <c r="L3" s="513" t="s">
        <v>255</v>
      </c>
      <c r="M3" s="513"/>
      <c r="N3" s="513"/>
    </row>
    <row r="4" spans="1:14" ht="14.25" customHeight="1">
      <c r="A4" s="313"/>
      <c r="B4" s="313"/>
      <c r="C4" s="313"/>
      <c r="D4" s="313"/>
      <c r="E4" s="313"/>
      <c r="F4" s="313"/>
      <c r="G4" s="513"/>
      <c r="H4" s="513"/>
      <c r="I4" s="313"/>
      <c r="J4" s="313"/>
      <c r="K4" s="313"/>
      <c r="L4" s="513"/>
      <c r="M4" s="513"/>
      <c r="N4" s="513"/>
    </row>
    <row r="5" spans="1:14" ht="15.75" thickBot="1"/>
    <row r="6" spans="1:14" ht="17.25" customHeight="1" thickBot="1">
      <c r="A6" s="511"/>
      <c r="B6" s="512"/>
      <c r="C6" s="509"/>
      <c r="D6" s="510"/>
      <c r="E6" s="507"/>
      <c r="F6" s="508"/>
      <c r="G6" s="518"/>
      <c r="H6" s="519"/>
      <c r="I6" s="516" t="s">
        <v>276</v>
      </c>
      <c r="J6" s="517"/>
      <c r="K6" s="514" t="s">
        <v>275</v>
      </c>
      <c r="L6" s="515"/>
    </row>
    <row r="7" spans="1:14" ht="33" customHeight="1" thickBot="1">
      <c r="A7" s="317" t="s">
        <v>265</v>
      </c>
      <c r="B7" s="359" t="s">
        <v>270</v>
      </c>
      <c r="C7" s="351" t="s">
        <v>265</v>
      </c>
      <c r="D7" s="352" t="s">
        <v>269</v>
      </c>
      <c r="E7" s="343" t="s">
        <v>265</v>
      </c>
      <c r="F7" s="344" t="s">
        <v>268</v>
      </c>
      <c r="G7" s="335" t="s">
        <v>265</v>
      </c>
      <c r="H7" s="336" t="s">
        <v>267</v>
      </c>
      <c r="I7" s="327" t="s">
        <v>265</v>
      </c>
      <c r="J7" s="328" t="s">
        <v>266</v>
      </c>
      <c r="K7" s="320" t="s">
        <v>265</v>
      </c>
      <c r="L7" s="318" t="s">
        <v>264</v>
      </c>
      <c r="M7" s="316" t="s">
        <v>257</v>
      </c>
      <c r="N7" s="315" t="s">
        <v>271</v>
      </c>
    </row>
    <row r="8" spans="1:14" ht="27" customHeight="1">
      <c r="A8" s="360"/>
      <c r="B8" s="361"/>
      <c r="C8" s="353"/>
      <c r="D8" s="354"/>
      <c r="E8" s="345"/>
      <c r="F8" s="346"/>
      <c r="G8" s="337"/>
      <c r="H8" s="338"/>
      <c r="I8" s="329"/>
      <c r="J8" s="330"/>
      <c r="K8" s="321"/>
      <c r="L8" s="322"/>
      <c r="M8" s="319"/>
      <c r="N8" s="314" t="s">
        <v>258</v>
      </c>
    </row>
    <row r="9" spans="1:14" ht="27" customHeight="1">
      <c r="A9" s="362"/>
      <c r="B9" s="363"/>
      <c r="C9" s="355"/>
      <c r="D9" s="356"/>
      <c r="E9" s="347"/>
      <c r="F9" s="348"/>
      <c r="G9" s="339"/>
      <c r="H9" s="340"/>
      <c r="I9" s="331"/>
      <c r="J9" s="332"/>
      <c r="K9" s="323"/>
      <c r="L9" s="324"/>
      <c r="M9" s="319"/>
      <c r="N9" s="314" t="s">
        <v>259</v>
      </c>
    </row>
    <row r="10" spans="1:14" ht="27" customHeight="1">
      <c r="A10" s="362"/>
      <c r="B10" s="363"/>
      <c r="C10" s="355"/>
      <c r="D10" s="356"/>
      <c r="E10" s="347"/>
      <c r="F10" s="348"/>
      <c r="G10" s="339"/>
      <c r="H10" s="340"/>
      <c r="I10" s="331"/>
      <c r="J10" s="332"/>
      <c r="K10" s="323"/>
      <c r="L10" s="324"/>
      <c r="M10" s="319"/>
      <c r="N10" s="314" t="s">
        <v>260</v>
      </c>
    </row>
    <row r="11" spans="1:14" ht="27" customHeight="1">
      <c r="A11" s="362"/>
      <c r="B11" s="363"/>
      <c r="C11" s="355"/>
      <c r="D11" s="356"/>
      <c r="E11" s="347"/>
      <c r="F11" s="348"/>
      <c r="G11" s="339"/>
      <c r="H11" s="340"/>
      <c r="I11" s="331"/>
      <c r="J11" s="332"/>
      <c r="K11" s="323"/>
      <c r="L11" s="324"/>
      <c r="M11" s="319"/>
      <c r="N11" s="314" t="s">
        <v>261</v>
      </c>
    </row>
    <row r="12" spans="1:14" ht="27" customHeight="1">
      <c r="A12" s="362"/>
      <c r="B12" s="363"/>
      <c r="C12" s="355"/>
      <c r="D12" s="356"/>
      <c r="E12" s="347"/>
      <c r="F12" s="348"/>
      <c r="G12" s="339"/>
      <c r="H12" s="340"/>
      <c r="I12" s="331"/>
      <c r="J12" s="332"/>
      <c r="K12" s="323"/>
      <c r="L12" s="324"/>
      <c r="M12" s="319"/>
      <c r="N12" s="314" t="s">
        <v>262</v>
      </c>
    </row>
    <row r="13" spans="1:14" ht="27" customHeight="1" thickBot="1">
      <c r="A13" s="364"/>
      <c r="B13" s="365"/>
      <c r="C13" s="357"/>
      <c r="D13" s="358"/>
      <c r="E13" s="349"/>
      <c r="F13" s="350"/>
      <c r="G13" s="341"/>
      <c r="H13" s="342"/>
      <c r="I13" s="333"/>
      <c r="J13" s="334"/>
      <c r="K13" s="325"/>
      <c r="L13" s="326"/>
      <c r="M13" s="319"/>
      <c r="N13" s="314" t="s">
        <v>263</v>
      </c>
    </row>
    <row r="17" spans="13:14" ht="25.5" customHeight="1">
      <c r="M17" s="315" t="s">
        <v>257</v>
      </c>
      <c r="N17" s="315" t="s">
        <v>272</v>
      </c>
    </row>
    <row r="18" spans="13:14" ht="25.5" customHeight="1">
      <c r="M18" s="366">
        <f t="shared" ref="M18:M23" si="0">M8-L8-J8-H8-F8-D8-B8</f>
        <v>0</v>
      </c>
      <c r="N18" s="367" t="s">
        <v>258</v>
      </c>
    </row>
    <row r="19" spans="13:14" ht="25.5" customHeight="1">
      <c r="M19" s="366">
        <f t="shared" si="0"/>
        <v>0</v>
      </c>
      <c r="N19" s="367" t="s">
        <v>259</v>
      </c>
    </row>
    <row r="20" spans="13:14" ht="25.5" customHeight="1">
      <c r="M20" s="366">
        <f t="shared" si="0"/>
        <v>0</v>
      </c>
      <c r="N20" s="367" t="s">
        <v>260</v>
      </c>
    </row>
    <row r="21" spans="13:14" ht="25.5" customHeight="1">
      <c r="M21" s="366">
        <f t="shared" si="0"/>
        <v>0</v>
      </c>
      <c r="N21" s="367" t="s">
        <v>261</v>
      </c>
    </row>
    <row r="22" spans="13:14" ht="25.5" customHeight="1">
      <c r="M22" s="366">
        <f t="shared" si="0"/>
        <v>0</v>
      </c>
      <c r="N22" s="367" t="s">
        <v>262</v>
      </c>
    </row>
    <row r="23" spans="13:14" ht="25.5" customHeight="1">
      <c r="M23" s="366">
        <f t="shared" si="0"/>
        <v>0</v>
      </c>
      <c r="N23" s="367" t="s">
        <v>263</v>
      </c>
    </row>
  </sheetData>
  <mergeCells count="8">
    <mergeCell ref="E6:F6"/>
    <mergeCell ref="C6:D6"/>
    <mergeCell ref="A6:B6"/>
    <mergeCell ref="G3:H4"/>
    <mergeCell ref="L3:N4"/>
    <mergeCell ref="K6:L6"/>
    <mergeCell ref="I6:J6"/>
    <mergeCell ref="G6:H6"/>
  </mergeCells>
  <pageMargins left="0.31496062992125984" right="0.31496062992125984" top="0.74803149606299213" bottom="0.35433070866141736" header="0.31496062992125984" footer="0.31496062992125984"/>
  <pageSetup paperSize="9" orientation="landscape" r:id="rId1"/>
  <headerFooter>
    <oddHeader>&amp;R&amp;G</oddHead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58A5B3CE-E8C6-4CA4-95BC-ED5FE7026497}">
  <ds:schemaRefs/>
</ds:datastoreItem>
</file>

<file path=customXml/itemProps2.xml><?xml version="1.0" encoding="utf-8"?>
<ds:datastoreItem xmlns:ds="http://schemas.openxmlformats.org/officeDocument/2006/customXml" ds:itemID="{8F02B80B-D0FC-4FA9-AC49-4EB2F27944C1}">
  <ds:schemaRefs/>
</ds:datastoreItem>
</file>

<file path=customXml/itemProps3.xml><?xml version="1.0" encoding="utf-8"?>
<ds:datastoreItem xmlns:ds="http://schemas.openxmlformats.org/officeDocument/2006/customXml" ds:itemID="{44AC37DB-4EFD-4B4B-877E-B83253F55A85}">
  <ds:schemaRefs/>
</ds:datastoreItem>
</file>

<file path=customXml/itemProps4.xml><?xml version="1.0" encoding="utf-8"?>
<ds:datastoreItem xmlns:ds="http://schemas.openxmlformats.org/officeDocument/2006/customXml" ds:itemID="{4CEA0E26-7FB1-4506-A4A1-1F2EEBC55AD9}">
  <ds:schemaRefs/>
</ds:datastoreItem>
</file>

<file path=customXml/itemProps5.xml><?xml version="1.0" encoding="utf-8"?>
<ds:datastoreItem xmlns:ds="http://schemas.openxmlformats.org/officeDocument/2006/customXml" ds:itemID="{B21554CD-9C08-4887-9EC0-727DC1F82CFA}">
  <ds:schemaRefs/>
</ds:datastoreItem>
</file>

<file path=customXml/itemProps6.xml><?xml version="1.0" encoding="utf-8"?>
<ds:datastoreItem xmlns:ds="http://schemas.openxmlformats.org/officeDocument/2006/customXml" ds:itemID="{DDDDEE5D-8BE7-4EC4-A2AD-C6648F2CF40F}">
  <ds:schemaRefs/>
</ds:datastoreItem>
</file>

<file path=customXml/itemProps7.xml><?xml version="1.0" encoding="utf-8"?>
<ds:datastoreItem xmlns:ds="http://schemas.openxmlformats.org/officeDocument/2006/customXml" ds:itemID="{297F29AD-FBCB-45BF-BA0C-B4E6C962BA69}">
  <ds:schemaRefs/>
</ds:datastoreItem>
</file>

<file path=customXml/itemProps8.xml><?xml version="1.0" encoding="utf-8"?>
<ds:datastoreItem xmlns:ds="http://schemas.openxmlformats.org/officeDocument/2006/customXml" ds:itemID="{C03ED280-3FEA-4042-B7A5-97A245FD3B8D}">
  <ds:schemaRefs/>
</ds:datastoreItem>
</file>

<file path=customXml/itemProps9.xml><?xml version="1.0" encoding="utf-8"?>
<ds:datastoreItem xmlns:ds="http://schemas.openxmlformats.org/officeDocument/2006/customXml" ds:itemID="{D117477F-0E02-4CB0-A54A-B3CD5461B9D4}">
  <ds:schemaRefs/>
</ds:datastoreItem>
</file>

<file path=customXml/itemProps10.xml><?xml version="1.0" encoding="utf-8"?>
<ds:datastoreItem xmlns:ds="http://schemas.openxmlformats.org/officeDocument/2006/customXml" ds:itemID="{DBEDCEEE-A573-40A1-95D7-5B336D6212B5}">
  <ds:schemaRefs/>
</ds:datastoreItem>
</file>

<file path=customXml/itemProps11.xml><?xml version="1.0" encoding="utf-8"?>
<ds:datastoreItem xmlns:ds="http://schemas.openxmlformats.org/officeDocument/2006/customXml" ds:itemID="{B70A5285-420B-43F4-A81C-AABDB556E31B}">
  <ds:schemaRefs/>
</ds:datastoreItem>
</file>

<file path=customXml/itemProps12.xml><?xml version="1.0" encoding="utf-8"?>
<ds:datastoreItem xmlns:ds="http://schemas.openxmlformats.org/officeDocument/2006/customXml" ds:itemID="{1ECC051C-3A7E-480F-80E2-3AA1B0755069}">
  <ds:schemaRefs/>
</ds:datastoreItem>
</file>

<file path=customXml/itemProps13.xml><?xml version="1.0" encoding="utf-8"?>
<ds:datastoreItem xmlns:ds="http://schemas.openxmlformats.org/officeDocument/2006/customXml" ds:itemID="{AC19BE0E-95CD-43F0-A34C-9D27AF1D2C6F}">
  <ds:schemaRefs/>
</ds:datastoreItem>
</file>

<file path=customXml/itemProps14.xml><?xml version="1.0" encoding="utf-8"?>
<ds:datastoreItem xmlns:ds="http://schemas.openxmlformats.org/officeDocument/2006/customXml" ds:itemID="{8C2932ED-762B-4AC5-854B-FE6E1441B47D}">
  <ds:schemaRefs/>
</ds:datastoreItem>
</file>

<file path=customXml/itemProps15.xml><?xml version="1.0" encoding="utf-8"?>
<ds:datastoreItem xmlns:ds="http://schemas.openxmlformats.org/officeDocument/2006/customXml" ds:itemID="{96769D47-4171-4F1E-80E4-242491CA3392}">
  <ds:schemaRefs/>
</ds:datastoreItem>
</file>

<file path=customXml/itemProps16.xml><?xml version="1.0" encoding="utf-8"?>
<ds:datastoreItem xmlns:ds="http://schemas.openxmlformats.org/officeDocument/2006/customXml" ds:itemID="{5D4608C1-3073-445E-81CE-3AA0159DD5F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14</vt:i4>
      </vt:variant>
    </vt:vector>
  </HeadingPairs>
  <TitlesOfParts>
    <vt:vector size="32" baseType="lpstr">
      <vt:lpstr>Print</vt:lpstr>
      <vt:lpstr>Data</vt:lpstr>
      <vt:lpstr>FittingsData</vt:lpstr>
      <vt:lpstr>All</vt:lpstr>
      <vt:lpstr>P1</vt:lpstr>
      <vt:lpstr>Material</vt:lpstr>
      <vt:lpstr>BoreshKari</vt:lpstr>
      <vt:lpstr>CNC</vt:lpstr>
      <vt:lpstr>NavarShiarFarsi</vt:lpstr>
      <vt:lpstr>Fittings</vt:lpstr>
      <vt:lpstr>Painting</vt:lpstr>
      <vt:lpstr>Plate</vt:lpstr>
      <vt:lpstr>WoodTools</vt:lpstr>
      <vt:lpstr>روکش مالی</vt:lpstr>
      <vt:lpstr>قرار داد</vt:lpstr>
      <vt:lpstr>مالی</vt:lpstr>
      <vt:lpstr>هزینه پروژه-جاری</vt:lpstr>
      <vt:lpstr>برشکاری</vt:lpstr>
      <vt:lpstr>az</vt:lpstr>
      <vt:lpstr>'P1'!Criteria</vt:lpstr>
      <vt:lpstr>BoreshKari!Print_Area</vt:lpstr>
      <vt:lpstr>CNC!Print_Area</vt:lpstr>
      <vt:lpstr>Fittings!Print_Area</vt:lpstr>
      <vt:lpstr>Material!Print_Area</vt:lpstr>
      <vt:lpstr>NavarShiarFarsi!Print_Area</vt:lpstr>
      <vt:lpstr>'P1'!Print_Area</vt:lpstr>
      <vt:lpstr>Painting!Print_Area</vt:lpstr>
      <vt:lpstr>Plate!Print_Area</vt:lpstr>
      <vt:lpstr>WoodTools!Print_Area</vt:lpstr>
      <vt:lpstr>'روکش مالی'!Print_Area</vt:lpstr>
      <vt:lpstr>'قرار داد'!Print_Area</vt:lpstr>
      <vt:lpstr>'P1'!Print_Titles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2023-08-16T09:15:56Z</dcterms:modified>
</cp:coreProperties>
</file>